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Alfredo Ávila/Planilha Controle/"/>
    </mc:Choice>
  </mc:AlternateContent>
  <xr:revisionPtr revIDLastSave="42262" documentId="8_{DAC6C9CA-70D7-4111-A0A7-BC6755E560D9}" xr6:coauthVersionLast="47" xr6:coauthVersionMax="47" xr10:uidLastSave="{BA1EAB4C-DEF7-426B-B33F-9CA5D83CB3D2}"/>
  <bookViews>
    <workbookView xWindow="28680" yWindow="-120" windowWidth="29040" windowHeight="15720" xr2:uid="{00000000-000D-0000-FFFF-FFFF00000000}"/>
  </bookViews>
  <sheets>
    <sheet name="PRIORIDADES" sheetId="20" r:id="rId1"/>
    <sheet name="Quantitativo Fora da Demanda" sheetId="19" state="hidden" r:id="rId2"/>
    <sheet name="Listas (não utilizar)" sheetId="4" state="hidden" r:id="rId3"/>
    <sheet name="QUANT COND" sheetId="16" state="hidden" r:id="rId4"/>
    <sheet name="OFÍCIOS" sheetId="5" state="hidden" r:id="rId5"/>
    <sheet name="Planilha1" sheetId="21" r:id="rId6"/>
    <sheet name="Planilha2" sheetId="23" r:id="rId7"/>
    <sheet name="Planilha3" sheetId="24" r:id="rId8"/>
  </sheets>
  <externalReferences>
    <externalReference r:id="rId9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PRIORIDADES!$B$13:$BM$291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08" i="20" l="1"/>
  <c r="BD108" i="20"/>
  <c r="BC108" i="20"/>
  <c r="BE139" i="20"/>
  <c r="BD139" i="20"/>
  <c r="BC139" i="20"/>
  <c r="BE141" i="20"/>
  <c r="BD141" i="20"/>
  <c r="BC141" i="20"/>
  <c r="BE140" i="20"/>
  <c r="BD140" i="20"/>
  <c r="BC140" i="20"/>
  <c r="BE138" i="20"/>
  <c r="BD138" i="20"/>
  <c r="BC138" i="20"/>
  <c r="AG140" i="20"/>
  <c r="AH141" i="20"/>
  <c r="AG141" i="20"/>
  <c r="AG139" i="20"/>
  <c r="AH139" i="20"/>
  <c r="AH128" i="20"/>
  <c r="AH129" i="20"/>
  <c r="BD15" i="20"/>
  <c r="BE15" i="20"/>
  <c r="BC16" i="20"/>
  <c r="BD16" i="20"/>
  <c r="BE16" i="20"/>
  <c r="BC17" i="20"/>
  <c r="BD17" i="20"/>
  <c r="BE17" i="20"/>
  <c r="BC18" i="20"/>
  <c r="BD18" i="20"/>
  <c r="BE18" i="20"/>
  <c r="BC19" i="20"/>
  <c r="BD19" i="20"/>
  <c r="BE19" i="20"/>
  <c r="BC20" i="20"/>
  <c r="BD20" i="20"/>
  <c r="BE20" i="20"/>
  <c r="BC21" i="20"/>
  <c r="BD21" i="20"/>
  <c r="BE21" i="20"/>
  <c r="BC22" i="20"/>
  <c r="BD22" i="20"/>
  <c r="BE22" i="20"/>
  <c r="BC23" i="20"/>
  <c r="BD23" i="20"/>
  <c r="BE23" i="20"/>
  <c r="BC24" i="20"/>
  <c r="BD24" i="20"/>
  <c r="BE24" i="20"/>
  <c r="BC25" i="20"/>
  <c r="BD25" i="20"/>
  <c r="BE25" i="20"/>
  <c r="BC26" i="20"/>
  <c r="BD26" i="20"/>
  <c r="BE26" i="20"/>
  <c r="BC27" i="20"/>
  <c r="BD27" i="20"/>
  <c r="BE27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D35" i="20"/>
  <c r="BE35" i="20"/>
  <c r="BC36" i="20"/>
  <c r="BD36" i="20"/>
  <c r="BE36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D46" i="20"/>
  <c r="BE46" i="20"/>
  <c r="BD47" i="20"/>
  <c r="BE47" i="20"/>
  <c r="BC48" i="20"/>
  <c r="BD48" i="20"/>
  <c r="BE48" i="20"/>
  <c r="BC49" i="20"/>
  <c r="BD49" i="20"/>
  <c r="BE49" i="20"/>
  <c r="BC50" i="20"/>
  <c r="BD50" i="20"/>
  <c r="BE50" i="20"/>
  <c r="BC51" i="20"/>
  <c r="BD51" i="20"/>
  <c r="BE51" i="20"/>
  <c r="BC52" i="20"/>
  <c r="BD52" i="20"/>
  <c r="BE52" i="20"/>
  <c r="BC53" i="20"/>
  <c r="BD53" i="20"/>
  <c r="BE53" i="20"/>
  <c r="BC54" i="20"/>
  <c r="BD54" i="20"/>
  <c r="BE54" i="20"/>
  <c r="BC55" i="20"/>
  <c r="BD55" i="20"/>
  <c r="BE55" i="20"/>
  <c r="BC56" i="20"/>
  <c r="BD56" i="20"/>
  <c r="BE56" i="20"/>
  <c r="BC57" i="20"/>
  <c r="BD57" i="20"/>
  <c r="BE57" i="20"/>
  <c r="BC58" i="20"/>
  <c r="BD58" i="20"/>
  <c r="BE58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D75" i="20"/>
  <c r="BE75" i="20"/>
  <c r="BC76" i="20"/>
  <c r="BD76" i="20"/>
  <c r="BE76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D119" i="20"/>
  <c r="BE119" i="20"/>
  <c r="BC120" i="20"/>
  <c r="BD120" i="20"/>
  <c r="BE120" i="20"/>
  <c r="BC121" i="20"/>
  <c r="BD121" i="20"/>
  <c r="BE121" i="20"/>
  <c r="BC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D152" i="20"/>
  <c r="BE152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4" i="20"/>
  <c r="BD164" i="20"/>
  <c r="BE164" i="20"/>
  <c r="BC163" i="20"/>
  <c r="BD163" i="20"/>
  <c r="BE163" i="20"/>
  <c r="BC165" i="20"/>
  <c r="BD165" i="20"/>
  <c r="BE165" i="20"/>
  <c r="BC170" i="20"/>
  <c r="BD170" i="20"/>
  <c r="BE170" i="20"/>
  <c r="BC166" i="20"/>
  <c r="BD166" i="20"/>
  <c r="BE166" i="20"/>
  <c r="BC167" i="20"/>
  <c r="BD167" i="20"/>
  <c r="BE167" i="20"/>
  <c r="BC168" i="20"/>
  <c r="BD168" i="20"/>
  <c r="BE168" i="20"/>
  <c r="BD169" i="20"/>
  <c r="BE169" i="20"/>
  <c r="BC172" i="20"/>
  <c r="BD172" i="20"/>
  <c r="BE172" i="20"/>
  <c r="BC171" i="20"/>
  <c r="BD171" i="20"/>
  <c r="BE171" i="20"/>
  <c r="BC173" i="20"/>
  <c r="BD173" i="20"/>
  <c r="BE173" i="20"/>
  <c r="BC174" i="20"/>
  <c r="BD174" i="20"/>
  <c r="BE174" i="20"/>
  <c r="BC176" i="20"/>
  <c r="BD176" i="20"/>
  <c r="BE176" i="20"/>
  <c r="BC175" i="20"/>
  <c r="BD175" i="20"/>
  <c r="BE175" i="20"/>
  <c r="BC177" i="20"/>
  <c r="BD177" i="20"/>
  <c r="BE177" i="20"/>
  <c r="BC178" i="20"/>
  <c r="BD178" i="20"/>
  <c r="BE178" i="20"/>
  <c r="BC181" i="20"/>
  <c r="BD181" i="20"/>
  <c r="BE181" i="20"/>
  <c r="BC182" i="20"/>
  <c r="BD182" i="20"/>
  <c r="BE182" i="20"/>
  <c r="BC180" i="20"/>
  <c r="BD180" i="20"/>
  <c r="BE180" i="20"/>
  <c r="BC183" i="20"/>
  <c r="BD183" i="20"/>
  <c r="BE183" i="20"/>
  <c r="BC184" i="20"/>
  <c r="BD184" i="20"/>
  <c r="BE184" i="20"/>
  <c r="BC185" i="20"/>
  <c r="BD185" i="20"/>
  <c r="BE185" i="20"/>
  <c r="BC186" i="20"/>
  <c r="BD186" i="20"/>
  <c r="BE186" i="20"/>
  <c r="BC187" i="20"/>
  <c r="BD187" i="20"/>
  <c r="BE187" i="20"/>
  <c r="BC189" i="20"/>
  <c r="BD189" i="20"/>
  <c r="BE189" i="20"/>
  <c r="BC192" i="20"/>
  <c r="BD192" i="20"/>
  <c r="BE192" i="20"/>
  <c r="BC193" i="20"/>
  <c r="BD193" i="20"/>
  <c r="BE193" i="20"/>
  <c r="BC194" i="20"/>
  <c r="BD194" i="20"/>
  <c r="BE194" i="20"/>
  <c r="BC196" i="20"/>
  <c r="BD196" i="20"/>
  <c r="BE196" i="20"/>
  <c r="BC191" i="20"/>
  <c r="BD191" i="20"/>
  <c r="BE191" i="20"/>
  <c r="BC197" i="20"/>
  <c r="BD197" i="20"/>
  <c r="BE197" i="20"/>
  <c r="BC198" i="20"/>
  <c r="BD198" i="20"/>
  <c r="BE198" i="20"/>
  <c r="BC204" i="20"/>
  <c r="BD204" i="20"/>
  <c r="BE204" i="20"/>
  <c r="BC205" i="20"/>
  <c r="BD205" i="20"/>
  <c r="BE205" i="20"/>
  <c r="BC206" i="20"/>
  <c r="BD206" i="20"/>
  <c r="BE206" i="20"/>
  <c r="BC210" i="20"/>
  <c r="BD210" i="20"/>
  <c r="BE210" i="20"/>
  <c r="BC216" i="20"/>
  <c r="BD216" i="20"/>
  <c r="BE216" i="20"/>
  <c r="BC217" i="20"/>
  <c r="BD217" i="20"/>
  <c r="BE217" i="20"/>
  <c r="BD200" i="20"/>
  <c r="BE200" i="20"/>
  <c r="BC201" i="20"/>
  <c r="BD201" i="20"/>
  <c r="BE201" i="20"/>
  <c r="BC202" i="20"/>
  <c r="BD202" i="20"/>
  <c r="BE202" i="20"/>
  <c r="BC203" i="20"/>
  <c r="BD203" i="20"/>
  <c r="BE203" i="20"/>
  <c r="BC218" i="20"/>
  <c r="BD218" i="20"/>
  <c r="BE218" i="20"/>
  <c r="BC221" i="20"/>
  <c r="BD221" i="20"/>
  <c r="BE221" i="20"/>
  <c r="BC225" i="20"/>
  <c r="BD225" i="20"/>
  <c r="BE225" i="20"/>
  <c r="BC226" i="20"/>
  <c r="BD226" i="20"/>
  <c r="BE226" i="20"/>
  <c r="BC208" i="20"/>
  <c r="BD208" i="20"/>
  <c r="BE208" i="20"/>
  <c r="BC209" i="20"/>
  <c r="BD209" i="20"/>
  <c r="BE209" i="20"/>
  <c r="BC227" i="20"/>
  <c r="BD227" i="20"/>
  <c r="BE227" i="20"/>
  <c r="BC211" i="20"/>
  <c r="BD211" i="20"/>
  <c r="BE211" i="20"/>
  <c r="BC212" i="20"/>
  <c r="BD212" i="20"/>
  <c r="BE212" i="20"/>
  <c r="BC213" i="20"/>
  <c r="BD213" i="20"/>
  <c r="BE213" i="20"/>
  <c r="BC214" i="20"/>
  <c r="BD214" i="20"/>
  <c r="BE214" i="20"/>
  <c r="BC215" i="20"/>
  <c r="BD215" i="20"/>
  <c r="BE215" i="20"/>
  <c r="BC229" i="20"/>
  <c r="BD229" i="20"/>
  <c r="BE229" i="20"/>
  <c r="BC236" i="20"/>
  <c r="BD236" i="20"/>
  <c r="BE236" i="20"/>
  <c r="BC238" i="20"/>
  <c r="BD238" i="20"/>
  <c r="BE238" i="20"/>
  <c r="BD219" i="20"/>
  <c r="BE219" i="20"/>
  <c r="BC220" i="20"/>
  <c r="BD220" i="20"/>
  <c r="BE220" i="20"/>
  <c r="BC245" i="20"/>
  <c r="BD245" i="20"/>
  <c r="BE245" i="20"/>
  <c r="BC222" i="20"/>
  <c r="BD222" i="20"/>
  <c r="BE222" i="20"/>
  <c r="BC223" i="20"/>
  <c r="BD223" i="20"/>
  <c r="BE223" i="20"/>
  <c r="BC224" i="20"/>
  <c r="BD224" i="20"/>
  <c r="BE224" i="20"/>
  <c r="BC246" i="20"/>
  <c r="BD246" i="20"/>
  <c r="BE246" i="20"/>
  <c r="BC249" i="20"/>
  <c r="BD249" i="20"/>
  <c r="BE249" i="20"/>
  <c r="BC251" i="20"/>
  <c r="BD251" i="20"/>
  <c r="BE251" i="20"/>
  <c r="BC228" i="20"/>
  <c r="BD228" i="20"/>
  <c r="BE228" i="20"/>
  <c r="BC253" i="20"/>
  <c r="BD253" i="20"/>
  <c r="BE253" i="20"/>
  <c r="BC230" i="20"/>
  <c r="BD230" i="20"/>
  <c r="BE230" i="20"/>
  <c r="BC231" i="20"/>
  <c r="BD231" i="20"/>
  <c r="BE231" i="20"/>
  <c r="BC232" i="20"/>
  <c r="BD232" i="20"/>
  <c r="BE232" i="20"/>
  <c r="BC233" i="20"/>
  <c r="BD233" i="20"/>
  <c r="BE233" i="20"/>
  <c r="BC234" i="20"/>
  <c r="BD234" i="20"/>
  <c r="BE234" i="20"/>
  <c r="BC235" i="20"/>
  <c r="BD235" i="20"/>
  <c r="BE235" i="20"/>
  <c r="BC259" i="20"/>
  <c r="BD259" i="20"/>
  <c r="BE259" i="20"/>
  <c r="BC237" i="20"/>
  <c r="BD237" i="20"/>
  <c r="BE237" i="20"/>
  <c r="BC260" i="20"/>
  <c r="BD260" i="20"/>
  <c r="BE260" i="20"/>
  <c r="BC239" i="20"/>
  <c r="BD239" i="20"/>
  <c r="BE239" i="20"/>
  <c r="BC240" i="20"/>
  <c r="BD240" i="20"/>
  <c r="BE240" i="20"/>
  <c r="BC241" i="20"/>
  <c r="BD241" i="20"/>
  <c r="BE241" i="20"/>
  <c r="BC242" i="20"/>
  <c r="BD242" i="20"/>
  <c r="BE242" i="20"/>
  <c r="BC243" i="20"/>
  <c r="BD243" i="20"/>
  <c r="BE243" i="20"/>
  <c r="BC244" i="20"/>
  <c r="BD244" i="20"/>
  <c r="BE244" i="20"/>
  <c r="BC261" i="20"/>
  <c r="BD261" i="20"/>
  <c r="BE261" i="20"/>
  <c r="BC262" i="20"/>
  <c r="BD262" i="20"/>
  <c r="BE262" i="20"/>
  <c r="BC247" i="20"/>
  <c r="BD247" i="20"/>
  <c r="BE247" i="20"/>
  <c r="BC248" i="20"/>
  <c r="BD248" i="20"/>
  <c r="BE248" i="20"/>
  <c r="BC263" i="20"/>
  <c r="BD263" i="20"/>
  <c r="BE263" i="20"/>
  <c r="BC250" i="20"/>
  <c r="BD250" i="20"/>
  <c r="BE250" i="20"/>
  <c r="BC265" i="20"/>
  <c r="BD265" i="20"/>
  <c r="BE265" i="20"/>
  <c r="BC252" i="20"/>
  <c r="BD252" i="20"/>
  <c r="BE252" i="20"/>
  <c r="BC162" i="20"/>
  <c r="BD162" i="20"/>
  <c r="BE162" i="20"/>
  <c r="BD254" i="20"/>
  <c r="BE254" i="20"/>
  <c r="BC255" i="20"/>
  <c r="BD255" i="20"/>
  <c r="BE255" i="20"/>
  <c r="BC256" i="20"/>
  <c r="BD256" i="20"/>
  <c r="BE256" i="20"/>
  <c r="BC257" i="20"/>
  <c r="BD257" i="20"/>
  <c r="BE257" i="20"/>
  <c r="BC258" i="20"/>
  <c r="BD258" i="20"/>
  <c r="BE258" i="20"/>
  <c r="BC179" i="20"/>
  <c r="BD179" i="20"/>
  <c r="BE179" i="20"/>
  <c r="BC188" i="20"/>
  <c r="BD188" i="20"/>
  <c r="BE188" i="20"/>
  <c r="BC190" i="20"/>
  <c r="BD190" i="20"/>
  <c r="BE190" i="20"/>
  <c r="BC195" i="20"/>
  <c r="BD195" i="20"/>
  <c r="BE195" i="20"/>
  <c r="BC199" i="20"/>
  <c r="BD199" i="20"/>
  <c r="BE199" i="20"/>
  <c r="BC264" i="20"/>
  <c r="BD264" i="20"/>
  <c r="BE264" i="20"/>
  <c r="BC207" i="20"/>
  <c r="BD207" i="20"/>
  <c r="BE207" i="20"/>
  <c r="BC266" i="20"/>
  <c r="BD266" i="20"/>
  <c r="BE266" i="20"/>
  <c r="AH130" i="20"/>
  <c r="AH205" i="20"/>
  <c r="AH107" i="20"/>
  <c r="AH227" i="20"/>
  <c r="AH156" i="20"/>
  <c r="AH136" i="20"/>
  <c r="AH135" i="20"/>
  <c r="AH91" i="20"/>
  <c r="AH229" i="20"/>
  <c r="AG220" i="20"/>
  <c r="AH186" i="20"/>
  <c r="AH185" i="20"/>
  <c r="AH187" i="20"/>
  <c r="AH189" i="20"/>
  <c r="AH86" i="20"/>
  <c r="AH149" i="20"/>
  <c r="AH115" i="20"/>
  <c r="AH210" i="20"/>
  <c r="AG226" i="20"/>
  <c r="AH173" i="20"/>
  <c r="AH184" i="20"/>
  <c r="AG150" i="20"/>
  <c r="AG262" i="20"/>
  <c r="AG236" i="20"/>
  <c r="AG160" i="20"/>
  <c r="AG253" i="20"/>
  <c r="AG181" i="20"/>
  <c r="AG159" i="20"/>
  <c r="AG162" i="20"/>
  <c r="AG167" i="20"/>
  <c r="AG155" i="20"/>
  <c r="AG164" i="20"/>
  <c r="AG207" i="20"/>
  <c r="AG199" i="20"/>
  <c r="AG198" i="20"/>
  <c r="AG195" i="20"/>
  <c r="AG190" i="20"/>
  <c r="AG179" i="20"/>
  <c r="AG254" i="20"/>
  <c r="AG238" i="20"/>
  <c r="BD14" i="20"/>
  <c r="BE14" i="20"/>
  <c r="AG251" i="20"/>
  <c r="AG249" i="20"/>
  <c r="AG246" i="20"/>
  <c r="AG194" i="20"/>
  <c r="AG175" i="20"/>
  <c r="AG245" i="20"/>
  <c r="AG176" i="20"/>
  <c r="AG197" i="20"/>
  <c r="AG172" i="20"/>
  <c r="AG174" i="20"/>
  <c r="AG247" i="20"/>
  <c r="AG193" i="20"/>
  <c r="AG178" i="20"/>
  <c r="AG196" i="20"/>
  <c r="AG177" i="20"/>
  <c r="AG66" i="20"/>
  <c r="BC14" i="24"/>
  <c r="BC15" i="24"/>
  <c r="BC16" i="24"/>
  <c r="BC17" i="24"/>
  <c r="BC18" i="24"/>
  <c r="BC19" i="24"/>
  <c r="BC20" i="24"/>
  <c r="BC21" i="24"/>
  <c r="BC22" i="24"/>
  <c r="BC23" i="24"/>
  <c r="BC24" i="24"/>
  <c r="BC25" i="24"/>
  <c r="BC26" i="24"/>
  <c r="BC27" i="24"/>
  <c r="BC28" i="24"/>
  <c r="BC29" i="24"/>
  <c r="BC30" i="24"/>
  <c r="BC31" i="24"/>
  <c r="BC32" i="24"/>
  <c r="BC33" i="24"/>
  <c r="BC34" i="24"/>
  <c r="BC35" i="24"/>
  <c r="BC36" i="24"/>
  <c r="BC37" i="24"/>
  <c r="BC38" i="24"/>
  <c r="BC39" i="24"/>
  <c r="AG40" i="24"/>
  <c r="BC40" i="24"/>
  <c r="BC41" i="24"/>
  <c r="BC42" i="24"/>
  <c r="BC43" i="24"/>
  <c r="BC44" i="24"/>
  <c r="BC45" i="24"/>
  <c r="BC46" i="24"/>
  <c r="BC47" i="24"/>
  <c r="AF48" i="24"/>
  <c r="BC48" i="24"/>
  <c r="BC49" i="24"/>
  <c r="BC50" i="24"/>
  <c r="BC51" i="24"/>
  <c r="BC52" i="24"/>
  <c r="BC53" i="24"/>
  <c r="BC54" i="24"/>
  <c r="BC55" i="24"/>
  <c r="BC56" i="24"/>
  <c r="BC57" i="24"/>
  <c r="BC58" i="24"/>
  <c r="BC59" i="24"/>
  <c r="AG60" i="24"/>
  <c r="BC60" i="24"/>
  <c r="AG61" i="24"/>
  <c r="BC61" i="24"/>
  <c r="AG62" i="24"/>
  <c r="BC62" i="24"/>
  <c r="AF63" i="24"/>
  <c r="AF64" i="24"/>
  <c r="BC64" i="24"/>
  <c r="AG65" i="24"/>
  <c r="BC65" i="24"/>
  <c r="AG66" i="24"/>
  <c r="BC66" i="24"/>
  <c r="AF67" i="24"/>
  <c r="BC67" i="24"/>
  <c r="AG68" i="24"/>
  <c r="BC68" i="24"/>
  <c r="AG69" i="24"/>
  <c r="BC69" i="24"/>
  <c r="BC70" i="24"/>
  <c r="BC71" i="24"/>
  <c r="BC72" i="24"/>
  <c r="AG73" i="24"/>
  <c r="BC73" i="24"/>
  <c r="AF74" i="24"/>
  <c r="BC74" i="24"/>
  <c r="AF75" i="24"/>
  <c r="BC75" i="24"/>
  <c r="AF84" i="24"/>
  <c r="BC84" i="24"/>
  <c r="AG85" i="24"/>
  <c r="BC85" i="24"/>
  <c r="BC108" i="24"/>
  <c r="AF109" i="24"/>
  <c r="BC109" i="24"/>
  <c r="BC110" i="24"/>
  <c r="AG111" i="24"/>
  <c r="BC111" i="24"/>
  <c r="BC112" i="24"/>
  <c r="BC113" i="24"/>
  <c r="BC114" i="24"/>
  <c r="BC115" i="24"/>
  <c r="BC116" i="24"/>
  <c r="BC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  <c r="AH18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<sst xmlns="http://schemas.openxmlformats.org/spreadsheetml/2006/main" count="19658" uniqueCount="5882">
  <si>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</si>
  <si>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</si>
  <si>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</si>
  <si>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</si>
  <si>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</si>
  <si>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</si>
  <si>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</si>
  <si>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</si>
  <si>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</si>
  <si>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</si>
  <si>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</si>
  <si>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</si>
  <si>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</si>
  <si>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</si>
  <si>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</si>
  <si>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</si>
  <si>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</si>
  <si>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</si>
  <si>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</si>
  <si>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</si>
  <si>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</si>
  <si>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</si>
  <si>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</si>
  <si>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</si>
  <si>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</si>
  <si>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</si>
  <si>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</si>
  <si>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</si>
  <si>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</si>
  <si>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</si>
  <si>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</si>
  <si>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</si>
  <si>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</si>
  <si>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</si>
  <si>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</si>
  <si>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</si>
  <si>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</t>
  </si>
  <si>
    <t>DEPLAN</t>
  </si>
  <si>
    <t>ORDEM</t>
  </si>
  <si>
    <t>ÁREA</t>
  </si>
  <si>
    <t>FASE</t>
  </si>
  <si>
    <t>TRECHO</t>
  </si>
  <si>
    <t>PRIORIDADE</t>
  </si>
  <si>
    <t>SELO</t>
  </si>
  <si>
    <t>SITUAÇÃO          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</si>
  <si>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</si>
  <si>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</si>
  <si>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</si>
  <si>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</si>
  <si>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</si>
  <si>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</si>
  <si>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</si>
  <si>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PLANILHA DADOS</t>
  </si>
  <si>
    <t>SOLICITAÇÃO                                                         AUXÍLIO ALUGUEL ÁREA</t>
  </si>
  <si>
    <t>No PROCESSO SEI                                       (AUXÍLIO ALUGUEL)</t>
  </si>
  <si>
    <t>ANÁLISE DTS                            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</si>
  <si>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</si>
  <si>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</si>
  <si>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</si>
  <si>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</si>
  <si>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</si>
  <si>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</si>
  <si>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</si>
  <si>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</si>
  <si>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</si>
  <si>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</si>
  <si>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</si>
  <si>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</si>
  <si>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</si>
  <si>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FINAL INDENIZAÇÃO</t>
  </si>
  <si>
    <t>ACEITA                                                                                                                                      VALOR INDENIZAÇÃO</t>
  </si>
  <si>
    <t>Nº SEI LAUDOS AVALIAÇÃO</t>
  </si>
  <si>
    <t xml:space="preserve">Nº DOCUMENTO LAUDO 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</si>
  <si>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</si>
  <si>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</si>
  <si>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</si>
  <si>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</si>
  <si>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</si>
  <si>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</si>
  <si>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</si>
  <si>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</si>
  <si>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</si>
  <si>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</si>
  <si>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</si>
  <si>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</si>
  <si>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</si>
  <si>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</si>
  <si>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</si>
  <si>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</si>
  <si>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</si>
  <si>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</si>
  <si>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BLOQUEIO AA</t>
  </si>
  <si>
    <t>SOLICITAÇÃO               BLOQUEIO AA  DTS</t>
  </si>
  <si>
    <t>SOLICITAÇÃO BLOQUEIO AA DTS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</si>
  <si>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</si>
  <si>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</si>
  <si>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</si>
  <si>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</si>
  <si>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</si>
  <si>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ALFREDO ÁVILA</t>
  </si>
  <si>
    <t>001/0001/A</t>
  </si>
  <si>
    <t>ANTONIO CARLOS PEREIRA LIMAS</t>
  </si>
  <si>
    <t>27.717.269-X</t>
  </si>
  <si>
    <t>172.907.418-97</t>
  </si>
  <si>
    <t>6014.2022/0003993-0</t>
  </si>
  <si>
    <t>FINALIZADO</t>
  </si>
  <si>
    <t>SEM PENDÊNCIA</t>
  </si>
  <si>
    <t>6014.2023/0001314-2</t>
  </si>
  <si>
    <t>001/0001/B</t>
  </si>
  <si>
    <t>SELO EXCLUÍDO</t>
  </si>
  <si>
    <t>001/0002/A</t>
  </si>
  <si>
    <t>WALLACE CARLOS DO NASCIMENTO</t>
  </si>
  <si>
    <t>53.833.874-X</t>
  </si>
  <si>
    <t>460.742.418-80</t>
  </si>
  <si>
    <t>6014.2023/0000399-6</t>
  </si>
  <si>
    <t>Houve um problema na equipe do pagamento, sendo previsto para 03/04/2023</t>
  </si>
  <si>
    <t>001/0002/B</t>
  </si>
  <si>
    <t>VANESSA SANTOS DE MARIZ</t>
  </si>
  <si>
    <t>54.110.071-3</t>
  </si>
  <si>
    <t>490.323.538-61</t>
  </si>
  <si>
    <t>001/0003/A</t>
  </si>
  <si>
    <t>INQUILINO</t>
  </si>
  <si>
    <t>JEFFERSON DA CRUZ CORRÊA</t>
  </si>
  <si>
    <t>47.815.794-0</t>
  </si>
  <si>
    <t>409.715.758-27</t>
  </si>
  <si>
    <t>FRANCISCO MARQUES DE OLIVEIRA</t>
  </si>
  <si>
    <t>26.115..235-X</t>
  </si>
  <si>
    <t>185.112.418-76</t>
  </si>
  <si>
    <t>6014.2022/0003932-8</t>
  </si>
  <si>
    <t>001/0004/A</t>
  </si>
  <si>
    <t>ISABELLE LAISLA DA SILVA</t>
  </si>
  <si>
    <t>62.680.901-0</t>
  </si>
  <si>
    <t>561.448.138-96</t>
  </si>
  <si>
    <t>ELENILDA RIBEIRO BARBOSA</t>
  </si>
  <si>
    <t>37.865.320-9</t>
  </si>
  <si>
    <t>458.940.945-34</t>
  </si>
  <si>
    <t>6014.2022/0003936-0</t>
  </si>
  <si>
    <t>001/0005/A</t>
  </si>
  <si>
    <t>EM CONSTRUÇÃO</t>
  </si>
  <si>
    <t> </t>
  </si>
  <si>
    <t>ANDRÉ VINICIUS DOS SANTOS</t>
  </si>
  <si>
    <t>54.531.709-5</t>
  </si>
  <si>
    <t>485.192.658-80</t>
  </si>
  <si>
    <t>6014.2022/0003939-5</t>
  </si>
  <si>
    <t>001/0006/A</t>
  </si>
  <si>
    <t>MARIA DA GLORIA CARMO SANTOS</t>
  </si>
  <si>
    <t>22.334.891-0</t>
  </si>
  <si>
    <t>128.114.308-14</t>
  </si>
  <si>
    <t>6014.2022/0003947-6</t>
  </si>
  <si>
    <t>001/0006/B</t>
  </si>
  <si>
    <t>CINTIA CARMO MIRANDA DE OLIVEIRA</t>
  </si>
  <si>
    <t>47.503.428-1</t>
  </si>
  <si>
    <t>394.343.598-99</t>
  </si>
  <si>
    <t>001/0007/A</t>
  </si>
  <si>
    <t>ELIANE RIBEIRO BARBOSA</t>
  </si>
  <si>
    <t>58.837.007-1</t>
  </si>
  <si>
    <t>020.661.135-81</t>
  </si>
  <si>
    <t>6014.2022/0004025-3</t>
  </si>
  <si>
    <t>001/0008/A</t>
  </si>
  <si>
    <t>NOELIA RIBEIRO BARBOSA</t>
  </si>
  <si>
    <t>28.191.025-X</t>
  </si>
  <si>
    <t>184.917.628-09</t>
  </si>
  <si>
    <t>6014.2022/0004026-1</t>
  </si>
  <si>
    <t>001/0008/B</t>
  </si>
  <si>
    <t>LUCAS DA SILVA PEREIRA</t>
  </si>
  <si>
    <t>45.668.154-8</t>
  </si>
  <si>
    <t>459.407.808-73</t>
  </si>
  <si>
    <t>001/0009/A</t>
  </si>
  <si>
    <t>MIRNA ELIZABETH CABRERA CUEVA</t>
  </si>
  <si>
    <t>RNM G065972-9</t>
  </si>
  <si>
    <t>237.484.388-26</t>
  </si>
  <si>
    <t>001/0010/A</t>
  </si>
  <si>
    <t>ALEXSANDRO BARBOSA PEREIRA</t>
  </si>
  <si>
    <t>46.789.605-7</t>
  </si>
  <si>
    <t>393.482.118-97</t>
  </si>
  <si>
    <t>6014.2022/0003940-9</t>
  </si>
  <si>
    <t>001/0010/B</t>
  </si>
  <si>
    <t>ANTONIO IZAU DOS SANTOS</t>
  </si>
  <si>
    <t>38.478.412-4</t>
  </si>
  <si>
    <t>099.702.388-09</t>
  </si>
  <si>
    <t>RECEBEU INDENIZAÇÃO PELO SELO 001/0010/A</t>
  </si>
  <si>
    <t>001/0011/A</t>
  </si>
  <si>
    <t>DIVANI MARTINS DO SANTOS</t>
  </si>
  <si>
    <t>34.812.789-3</t>
  </si>
  <si>
    <t>272.878.048-08</t>
  </si>
  <si>
    <t>IVONE FERREIRA MENDES</t>
  </si>
  <si>
    <t>54.246.610-7</t>
  </si>
  <si>
    <t>060.155.126-52</t>
  </si>
  <si>
    <t>Conta bancaria da Sra. Ivone Ferreira Mendes está ilegível e o termo de chaves está faltando um número no RG. Verificar com Cibele</t>
  </si>
  <si>
    <t>6014.2022/0004134-9</t>
  </si>
  <si>
    <t>001/0012/A</t>
  </si>
  <si>
    <t>VITORIA RAFAELA LIMA DA COSTA</t>
  </si>
  <si>
    <t>60.076.130-7</t>
  </si>
  <si>
    <t>505.195.648-39</t>
  </si>
  <si>
    <t>001/0012/B</t>
  </si>
  <si>
    <t>CLAUDIO FERREIRA DE LIMA</t>
  </si>
  <si>
    <t>37.095.609-6</t>
  </si>
  <si>
    <t>533.218.121-34</t>
  </si>
  <si>
    <t>6014.2022/0003941-7</t>
  </si>
  <si>
    <t>001/0014/A</t>
  </si>
  <si>
    <t>JAILSON SANTOS SILVA</t>
  </si>
  <si>
    <t>34.302.386-6</t>
  </si>
  <si>
    <t>553.313.785-87</t>
  </si>
  <si>
    <t>6014.2022/0004135-7</t>
  </si>
  <si>
    <t>001/0017/A</t>
  </si>
  <si>
    <t>CREUZA ROSA MARQUES</t>
  </si>
  <si>
    <t>53.083.084-X</t>
  </si>
  <si>
    <t>130.250.141-81</t>
  </si>
  <si>
    <t>130.250.148-81</t>
  </si>
  <si>
    <t>6014.2022/0004030-0</t>
  </si>
  <si>
    <t>001/0017/B</t>
  </si>
  <si>
    <t>STELA MARQUES DA SILVA</t>
  </si>
  <si>
    <t>39.626.761-0</t>
  </si>
  <si>
    <t>402.625.628-63</t>
  </si>
  <si>
    <t>6014.2022/0004136-5</t>
  </si>
  <si>
    <t>001/0019/A</t>
  </si>
  <si>
    <t>SUELI GOMES DE SOUZA</t>
  </si>
  <si>
    <t>19.370.643-X</t>
  </si>
  <si>
    <t>087.913.138-13</t>
  </si>
  <si>
    <t>RECEBEU INDENIZAÇÃO PELO SELO 001/0019/B</t>
  </si>
  <si>
    <t>AGUARDANDO</t>
  </si>
  <si>
    <t>001/0019/B</t>
  </si>
  <si>
    <t>LUCAS DANIEL GOMES PEREIRA</t>
  </si>
  <si>
    <t>52.281.364-1</t>
  </si>
  <si>
    <t>439.284.308-40</t>
  </si>
  <si>
    <t>6014.2023/0002325-3</t>
  </si>
  <si>
    <t>001/0024/A</t>
  </si>
  <si>
    <t>GLEDY MARISE DOS SANTOS ROSA</t>
  </si>
  <si>
    <t>30.557.844-3</t>
  </si>
  <si>
    <t>301.750.188-47</t>
  </si>
  <si>
    <t>CALINE DOS SANTOS CONVENTO</t>
  </si>
  <si>
    <t>43.781.566-3</t>
  </si>
  <si>
    <t>229.019.538-32</t>
  </si>
  <si>
    <t>6014.2023/0001998-1</t>
  </si>
  <si>
    <t>001/0025/A</t>
  </si>
  <si>
    <t>RUANA PORTILLA</t>
  </si>
  <si>
    <t>50.384.970-4</t>
  </si>
  <si>
    <t>461.003.518-97</t>
  </si>
  <si>
    <t>NÃO SACOU</t>
  </si>
  <si>
    <t>Equipe social não consegue entrar em contato para entregar o termo do cartão. AA Bloqueado</t>
  </si>
  <si>
    <t>DANILO AUGUSTO DA SILVA SANTOS</t>
  </si>
  <si>
    <t>49.188.880-6</t>
  </si>
  <si>
    <t>439.612.578-09</t>
  </si>
  <si>
    <t>6014.2022/0004083-0</t>
  </si>
  <si>
    <t>001/0025/B</t>
  </si>
  <si>
    <t>CARLOS ROBERTO BATISTA DE SOUZA</t>
  </si>
  <si>
    <t>27.245.037-6</t>
  </si>
  <si>
    <t>564.518.226-04</t>
  </si>
  <si>
    <t>6014.2022/0004137-3</t>
  </si>
  <si>
    <t>001/0026/A</t>
  </si>
  <si>
    <t>RENATA RODRIGUES DA SILVA</t>
  </si>
  <si>
    <t>39.316.490-1</t>
  </si>
  <si>
    <t>371.973.748-98</t>
  </si>
  <si>
    <t>6014.2022/0004081-4</t>
  </si>
  <si>
    <t>001/0026/B</t>
  </si>
  <si>
    <t>LAIS DA SILVA PEREIRA</t>
  </si>
  <si>
    <t>57.273.865-1</t>
  </si>
  <si>
    <t>495.928.678-44</t>
  </si>
  <si>
    <t>GERINALDO RIBEIRO BARBOSA</t>
  </si>
  <si>
    <t>32.770.534-6</t>
  </si>
  <si>
    <t>873.034.935-49</t>
  </si>
  <si>
    <t>RECEBEU INDENIZAÇÃO PELO SELO 001/0026/C</t>
  </si>
  <si>
    <t>MUNÍCIPE RECEBEU INDENIZAÇÃO PELO SELO 001/0026/C</t>
  </si>
  <si>
    <t>001/0026/C</t>
  </si>
  <si>
    <t>MARILUCE DA SILVA</t>
  </si>
  <si>
    <t>37.373.261-2</t>
  </si>
  <si>
    <t>271.024.958-89</t>
  </si>
  <si>
    <t>02-mai-23</t>
  </si>
  <si>
    <t>05-mai-23</t>
  </si>
  <si>
    <t>22-mai-23</t>
  </si>
  <si>
    <t>23-mai-23</t>
  </si>
  <si>
    <t>6014.2022/0004138-1</t>
  </si>
  <si>
    <t>001/0027/A</t>
  </si>
  <si>
    <t>JOSIELE DE OLIVEIRA SILVA</t>
  </si>
  <si>
    <t>47.114.574-9</t>
  </si>
  <si>
    <t>388.201.958-10</t>
  </si>
  <si>
    <t>6014.2022/0004029-6</t>
  </si>
  <si>
    <t>001/0028/A</t>
  </si>
  <si>
    <t>THAIS DE OLIVEIRA SILVA FERREIRA</t>
  </si>
  <si>
    <t>34.615.609-9</t>
  </si>
  <si>
    <t>387.066.978-01</t>
  </si>
  <si>
    <t>001/0029/A</t>
  </si>
  <si>
    <t>FRANCISCO DA CRUZ NANTES</t>
  </si>
  <si>
    <t>21.271.587-2</t>
  </si>
  <si>
    <t>383.527.615-87</t>
  </si>
  <si>
    <t>001/0029/B</t>
  </si>
  <si>
    <t>JULIO CESAR DOS SANTOS</t>
  </si>
  <si>
    <t>53.036.759-2</t>
  </si>
  <si>
    <t>425.874.268-63</t>
  </si>
  <si>
    <t>PROPRIETÁRIO DOS SELOS 001/0029/A, 001/0029/B E 001/0029/C, OPTOU POR UH</t>
  </si>
  <si>
    <t>001/0029/C</t>
  </si>
  <si>
    <t>NIVANILDA RISALVA DA SILVA</t>
  </si>
  <si>
    <t>62.212.140-6</t>
  </si>
  <si>
    <t>111.222.474-27</t>
  </si>
  <si>
    <t>001/0030/A</t>
  </si>
  <si>
    <t>AMANDA OLIVEIRA DE ARAUJO</t>
  </si>
  <si>
    <t>43.521.928-5</t>
  </si>
  <si>
    <t>435.738.668-32</t>
  </si>
  <si>
    <t>6014.2022/0004027-0</t>
  </si>
  <si>
    <t>001/0031/A</t>
  </si>
  <si>
    <t>VANESSA CRISTINA PEREIRA DE SOUZA</t>
  </si>
  <si>
    <t>44.357.626-9</t>
  </si>
  <si>
    <t>337.076.398-27</t>
  </si>
  <si>
    <t>03-mai-23</t>
  </si>
  <si>
    <t>DIOGO SILVA BENTO</t>
  </si>
  <si>
    <t>29.766.411-6</t>
  </si>
  <si>
    <t>334.043.458-19</t>
  </si>
  <si>
    <t>6014.2023/0004452-8</t>
  </si>
  <si>
    <t>001/0032/A</t>
  </si>
  <si>
    <t>DEBORAH SALLES DA SILVA</t>
  </si>
  <si>
    <t>25.769.760-3</t>
  </si>
  <si>
    <t>215.312.868-44</t>
  </si>
  <si>
    <t>NÃO TEM ATENDIMENTO</t>
  </si>
  <si>
    <t xml:space="preserve">RENDA SUPERIOR PARA RECEBER AUXÍLIO ALUGUEL </t>
  </si>
  <si>
    <t>LÚCIA JERONYMA SALLES</t>
  </si>
  <si>
    <t xml:space="preserve"> 040.770.428-01</t>
  </si>
  <si>
    <t>6014.2022/0004031-8</t>
  </si>
  <si>
    <t>001/0032/B</t>
  </si>
  <si>
    <t>NATIELE BARBOSA SOUZA</t>
  </si>
  <si>
    <t>59.909.486-2</t>
  </si>
  <si>
    <t>075.602.185-55</t>
  </si>
  <si>
    <t>ADRIANA FERREIRA MARQUES</t>
  </si>
  <si>
    <t>38.775.449-0</t>
  </si>
  <si>
    <t>382.605.788-08</t>
  </si>
  <si>
    <t>6014.2023/0000025-3</t>
  </si>
  <si>
    <t>001/0032/C</t>
  </si>
  <si>
    <t>JOÃO GABRIEL PEREIRA SORIANO</t>
  </si>
  <si>
    <t>38.643.918-7</t>
  </si>
  <si>
    <t>439.476.688-56</t>
  </si>
  <si>
    <t>LUCIVANIA MARIA DA SILVA NOVAES</t>
  </si>
  <si>
    <t>42.178.340-0</t>
  </si>
  <si>
    <t>316.656.868-98</t>
  </si>
  <si>
    <t>6014.2022/0004032-6</t>
  </si>
  <si>
    <t>001/0033/A</t>
  </si>
  <si>
    <t>MARIA JOSE DA SILVA COSTA</t>
  </si>
  <si>
    <t>29.063.583-4</t>
  </si>
  <si>
    <t>301.137.638-75</t>
  </si>
  <si>
    <t>RECEBEU AA PELO SELO 001/0133/A</t>
  </si>
  <si>
    <t>001/0036/A</t>
  </si>
  <si>
    <t>BARBARA LUIZA LUCHETTI BOCALETI</t>
  </si>
  <si>
    <t>39.811.659-3</t>
  </si>
  <si>
    <t>471.526.338-60</t>
  </si>
  <si>
    <t>ALICE BARBOSA PEREIRA</t>
  </si>
  <si>
    <t>50.347.964-0</t>
  </si>
  <si>
    <t>489.240.398-90</t>
  </si>
  <si>
    <t>6014.2022/0004139-0</t>
  </si>
  <si>
    <t>001/0036/B</t>
  </si>
  <si>
    <t>ALISSON BARBOSA PEREIRA</t>
  </si>
  <si>
    <t>50.347.972-X</t>
  </si>
  <si>
    <t>489.240.878-60</t>
  </si>
  <si>
    <t>6014.2022/0004140-3</t>
  </si>
  <si>
    <t>001/0037/A</t>
  </si>
  <si>
    <t>ANA LUCIA RAMOS DUARTE</t>
  </si>
  <si>
    <t>62.219.271-1</t>
  </si>
  <si>
    <t>241.475.398-66</t>
  </si>
  <si>
    <t xml:space="preserve">LUIS CAETANO </t>
  </si>
  <si>
    <t>21.966.817-6</t>
  </si>
  <si>
    <t>166.820.668-73</t>
  </si>
  <si>
    <t>6014.2023/0000339-2</t>
  </si>
  <si>
    <t>001/0037/B</t>
  </si>
  <si>
    <t>RESIDENTE AUSENTE</t>
  </si>
  <si>
    <t>001/0037/C</t>
  </si>
  <si>
    <t>ANGÉLICA SUELLEN RAMOS SERGINA</t>
  </si>
  <si>
    <t>52.373.516-9</t>
  </si>
  <si>
    <t>474.575.748-40</t>
  </si>
  <si>
    <t>001/0038/A</t>
  </si>
  <si>
    <t>NÃO RESIDENCIAL</t>
  </si>
  <si>
    <t>WAGNER FERREIRA</t>
  </si>
  <si>
    <t>29.988.378-4</t>
  </si>
  <si>
    <t>213.110.988-10</t>
  </si>
  <si>
    <t>6014.2022/0003943-3</t>
  </si>
  <si>
    <t>001/0038/B</t>
  </si>
  <si>
    <t>WIRNA JOSÉ DE PAULA</t>
  </si>
  <si>
    <t>22.282.027-5</t>
  </si>
  <si>
    <t>115.086.198-32</t>
  </si>
  <si>
    <t>6014.2022/0003962-0</t>
  </si>
  <si>
    <t>001/0039/A</t>
  </si>
  <si>
    <t>BEATRIZ RODRIGUES DOS SANTOS</t>
  </si>
  <si>
    <t>39.897.214-X</t>
  </si>
  <si>
    <t>496.357.038-64</t>
  </si>
  <si>
    <t>001/0039/B</t>
  </si>
  <si>
    <t>MIRIAN MACIEL DE SOUZA DA SILVA</t>
  </si>
  <si>
    <t>49.302.245-4</t>
  </si>
  <si>
    <t>401.466.968-83</t>
  </si>
  <si>
    <t>ANA PAULA SIMÕES CUNHA NOGUEIRA</t>
  </si>
  <si>
    <t>194.609.818-36</t>
  </si>
  <si>
    <t>001/0039/C</t>
  </si>
  <si>
    <t>001/0047/A</t>
  </si>
  <si>
    <t>DEBORA EVELLYN DOS SANTOS FLORES</t>
  </si>
  <si>
    <t>53.045.343-5</t>
  </si>
  <si>
    <t>457.431.978-06</t>
  </si>
  <si>
    <t>001/0047/B</t>
  </si>
  <si>
    <t>ELOY SANTOS FLORES</t>
  </si>
  <si>
    <t>53.045.236-4</t>
  </si>
  <si>
    <t>454.872.348-09</t>
  </si>
  <si>
    <t>001/0047/C</t>
  </si>
  <si>
    <t>DIEGO DOS SANTOS FLORES</t>
  </si>
  <si>
    <t>34.199.065-4</t>
  </si>
  <si>
    <t>344.130.078-59</t>
  </si>
  <si>
    <t>6014.2023/0000168-3</t>
  </si>
  <si>
    <t>001/0048/A</t>
  </si>
  <si>
    <t>LETÍCIA SOARES SOUSA</t>
  </si>
  <si>
    <t>53.906.268-6</t>
  </si>
  <si>
    <t>557.850.828-61</t>
  </si>
  <si>
    <t>6014.2022/0004033-4</t>
  </si>
  <si>
    <t>001/0049/A</t>
  </si>
  <si>
    <t>WENDEL ENRIQUE SANTANA SOUZA</t>
  </si>
  <si>
    <t>62.514.646-3</t>
  </si>
  <si>
    <t>516.094.758-28</t>
  </si>
  <si>
    <t>CLAUDIA BARBOSA DA SILVA SANTOS</t>
  </si>
  <si>
    <t>44.876.275-4</t>
  </si>
  <si>
    <t>393.752.108-98</t>
  </si>
  <si>
    <t>6014.2022/0003955-7</t>
  </si>
  <si>
    <t>001/0049/B</t>
  </si>
  <si>
    <t>JOSEILDO FERNANDO DA SILVA</t>
  </si>
  <si>
    <t>44.926.182-7</t>
  </si>
  <si>
    <t>370.264.498-93</t>
  </si>
  <si>
    <t>RECEBEU INDENIZAÇÃO PELO SELO 001/0049A</t>
  </si>
  <si>
    <t>001/0050/A</t>
  </si>
  <si>
    <t>ÁGATHA ALESSANDRA DE PAULA CALABRESI</t>
  </si>
  <si>
    <t>39.897.247-3</t>
  </si>
  <si>
    <t>390.685.488-40</t>
  </si>
  <si>
    <t>6014.2023/0000370-8</t>
  </si>
  <si>
    <t>001/0051/A</t>
  </si>
  <si>
    <t>ANDRÉ FERREIRA DE FRANÇA</t>
  </si>
  <si>
    <t>42.348.779-6</t>
  </si>
  <si>
    <t>359.457.468-78</t>
  </si>
  <si>
    <t>6014.2023/0000353-8</t>
  </si>
  <si>
    <t>001/0052/A</t>
  </si>
  <si>
    <t>WAGNER RAMALHO QUEIROZ</t>
  </si>
  <si>
    <t>37.142.909-2</t>
  </si>
  <si>
    <t>453.314.278-80</t>
  </si>
  <si>
    <t>6014.2022/0003960-3</t>
  </si>
  <si>
    <t>001/0052/B</t>
  </si>
  <si>
    <t>SIMONE DE JESUS ROCHA</t>
  </si>
  <si>
    <t>62.057.806-3</t>
  </si>
  <si>
    <t>418.163.808-14</t>
  </si>
  <si>
    <t>418.163.308-14</t>
  </si>
  <si>
    <t>001/0053/A</t>
  </si>
  <si>
    <t>EDUARDO VIEIRA GABRIEL</t>
  </si>
  <si>
    <t>MG-10.085.479</t>
  </si>
  <si>
    <t>041.884.086-50</t>
  </si>
  <si>
    <t>NILVA DA SILVEIRA VARGAS</t>
  </si>
  <si>
    <t>52.751.188-2</t>
  </si>
  <si>
    <t>033.699.229-75</t>
  </si>
  <si>
    <t>6014.2022/0004089-0</t>
  </si>
  <si>
    <t>001/0053/B</t>
  </si>
  <si>
    <t>FERNANDA MERCES DA SILVEIRA</t>
  </si>
  <si>
    <t>50.771.152-X</t>
  </si>
  <si>
    <t>528.864.978-27</t>
  </si>
  <si>
    <t>RECEBEU INDENIZAÇÃO PELO SELO 001/0053/A</t>
  </si>
  <si>
    <t>001/0054/A</t>
  </si>
  <si>
    <t>RYCK VINNICIUS DA SILVA</t>
  </si>
  <si>
    <t>39.313.802-1</t>
  </si>
  <si>
    <t xml:space="preserve"> 412.686.548-92</t>
  </si>
  <si>
    <t>6014.2022/0004086-5</t>
  </si>
  <si>
    <t>001/0055/A</t>
  </si>
  <si>
    <t>ROGERIO ALEX RAMOS SERGINA</t>
  </si>
  <si>
    <t>43.273.271-8</t>
  </si>
  <si>
    <t>445.951.018-99</t>
  </si>
  <si>
    <t>001/0056/A</t>
  </si>
  <si>
    <t>ROSIEL DE BARROS CARDOSO BATISTA</t>
  </si>
  <si>
    <t>42.363.207-3</t>
  </si>
  <si>
    <t>420.017.688-26</t>
  </si>
  <si>
    <t>6014.2022/0004143-8</t>
  </si>
  <si>
    <t>001/0057/A</t>
  </si>
  <si>
    <t>GUILHERME DOS SANTOS GARCIA</t>
  </si>
  <si>
    <t>RECUSA</t>
  </si>
  <si>
    <t>001/0057/B</t>
  </si>
  <si>
    <t>LETICIA BISPO DOS SANTOS</t>
  </si>
  <si>
    <t>001/0057/C</t>
  </si>
  <si>
    <t>ANTONIO CARLOS DOS SANTOS</t>
  </si>
  <si>
    <t>001/0057/D</t>
  </si>
  <si>
    <t>MORADOR AUSENTE</t>
  </si>
  <si>
    <t>001/0057/E</t>
  </si>
  <si>
    <t>CAMILA JAQUELINE DOS SANTOS SAMPAIO</t>
  </si>
  <si>
    <t>66.468.985-1</t>
  </si>
  <si>
    <t>076.625.779-70</t>
  </si>
  <si>
    <t>JENIFFER VITORIA OLIVEIRA BASILIO</t>
  </si>
  <si>
    <t>54.635.131-1</t>
  </si>
  <si>
    <t>449.539.958-64</t>
  </si>
  <si>
    <t>001/0059/A</t>
  </si>
  <si>
    <t>EVELINE SPINOLA SILVA LIMAS</t>
  </si>
  <si>
    <t>41.354.041-8</t>
  </si>
  <si>
    <t>341.196.818-40</t>
  </si>
  <si>
    <t>6014.2024/0003145-2</t>
  </si>
  <si>
    <t>DUPLO ATENDIMENTO - DEVOLVIDO DTS</t>
  </si>
  <si>
    <t>001/0060/A</t>
  </si>
  <si>
    <t>FERNANDO DA COSTA RODRIGUES</t>
  </si>
  <si>
    <t>43.398.162-3</t>
  </si>
  <si>
    <t>457.370.858-80</t>
  </si>
  <si>
    <t>AGUARDANDO ASSINATURA COORDENAÇÃO CTS - TERMO VALOR ALTO</t>
  </si>
  <si>
    <t>TERMO ASSINADO SECRETÁRIO</t>
  </si>
  <si>
    <t>TERMO VALOR ALTO</t>
  </si>
  <si>
    <t>6014.2024/0002531-2</t>
  </si>
  <si>
    <t>001/0061/A</t>
  </si>
  <si>
    <t>VERENE REGINA NOGUEIRA DA SILVA</t>
  </si>
  <si>
    <t>63.135.833-X</t>
  </si>
  <si>
    <t>770.777.684-49</t>
  </si>
  <si>
    <t>Aguardando assinatura do Secretário no Termo de Indenização</t>
  </si>
  <si>
    <t>6014.2024/0002698-0</t>
  </si>
  <si>
    <t xml:space="preserve">FINALIZADO </t>
  </si>
  <si>
    <t>LIBERADO DEMOLIÇÃO</t>
  </si>
  <si>
    <t>001/0061/B</t>
  </si>
  <si>
    <t>LEONARDO BORGES DOS SANTOS</t>
  </si>
  <si>
    <t>52.367.321-8</t>
  </si>
  <si>
    <t>489.206.338-00</t>
  </si>
  <si>
    <t>MARCOS ANTONIO PEREIRA DOS SANTOS</t>
  </si>
  <si>
    <t>29.828.562-9</t>
  </si>
  <si>
    <t>270.342.998-38</t>
  </si>
  <si>
    <t>001/0062/A</t>
  </si>
  <si>
    <t>INGRID DALYLLA DE PAULA CAETANO</t>
  </si>
  <si>
    <t>43.572.592-0</t>
  </si>
  <si>
    <t>390.685.508-29</t>
  </si>
  <si>
    <t>6014.2023/0000358-9</t>
  </si>
  <si>
    <t>001/0063/A</t>
  </si>
  <si>
    <t>VITORIA REGINA NOGUEIRA OLIVEIRA</t>
  </si>
  <si>
    <t xml:space="preserve"> 50532157-9</t>
  </si>
  <si>
    <t>497.368.808-85</t>
  </si>
  <si>
    <t>6014.2023/0000363-5</t>
  </si>
  <si>
    <t>001/0064/A</t>
  </si>
  <si>
    <t>ELOANA CRISTINA DE SOUZA MELO</t>
  </si>
  <si>
    <t>41.392.693-X</t>
  </si>
  <si>
    <t>420.430.358-78</t>
  </si>
  <si>
    <t>6014.2024/0002948-2</t>
  </si>
  <si>
    <t>001/0065/A</t>
  </si>
  <si>
    <t>HENRIQUE MELLO ELIAS</t>
  </si>
  <si>
    <t>59.554.673-0</t>
  </si>
  <si>
    <t>504.344.890-34</t>
  </si>
  <si>
    <t xml:space="preserve">CADASTRADO </t>
  </si>
  <si>
    <t>6014.2024/0003150-9</t>
  </si>
  <si>
    <t>001/0066/A</t>
  </si>
  <si>
    <t>SONIA JOSEFA DA SILVA</t>
  </si>
  <si>
    <t>25.106.292-2</t>
  </si>
  <si>
    <t>328.783.108-96</t>
  </si>
  <si>
    <t>001/0067/A</t>
  </si>
  <si>
    <t>WILLIAM ALVES DOS SANTOS</t>
  </si>
  <si>
    <t>48.449.047-3</t>
  </si>
  <si>
    <t>376.241.098-40</t>
  </si>
  <si>
    <t>001/0068/A</t>
  </si>
  <si>
    <t>THAIS SANTANA DA SILVA</t>
  </si>
  <si>
    <t>55.055.138-4</t>
  </si>
  <si>
    <t>708.965.224-66</t>
  </si>
  <si>
    <t>23-fev-24</t>
  </si>
  <si>
    <t>IVANISE PESSOA SANTANA SILVA</t>
  </si>
  <si>
    <t>67.186.188-8</t>
  </si>
  <si>
    <t>024.686.954-29</t>
  </si>
  <si>
    <t>PROPRIETARIO NÃO RESIDENTE</t>
  </si>
  <si>
    <t>6014.2024/0002995-4</t>
  </si>
  <si>
    <t>001/0068/B</t>
  </si>
  <si>
    <t>TALITA RAMOS CAETANO</t>
  </si>
  <si>
    <t>42.649.234-1</t>
  </si>
  <si>
    <t>447.768.748-65</t>
  </si>
  <si>
    <t>DENISE FELIX DE ANDRADE</t>
  </si>
  <si>
    <t>50.272.562-X</t>
  </si>
  <si>
    <t>387.337.268-17</t>
  </si>
  <si>
    <t>6014.2024/0002940-7</t>
  </si>
  <si>
    <t>001/0069/A</t>
  </si>
  <si>
    <t>ESPEDITO ANSELMO LIMA</t>
  </si>
  <si>
    <t>11.118.783-7</t>
  </si>
  <si>
    <t>163.138.218-74</t>
  </si>
  <si>
    <t>001/0069/B</t>
  </si>
  <si>
    <t>EMILIO ANSELMO LIMA</t>
  </si>
  <si>
    <t>200.758.4307-4</t>
  </si>
  <si>
    <t>389.364.103-34</t>
  </si>
  <si>
    <t>6014.2024/0003126-6</t>
  </si>
  <si>
    <t>001/0070/A</t>
  </si>
  <si>
    <t>ISAURA CONCEIÇÃO ASSIS DOS NASCIMENTO SILVA</t>
  </si>
  <si>
    <t>43.315.561-9</t>
  </si>
  <si>
    <t>323.090.218-14</t>
  </si>
  <si>
    <t>6014.2024/0002994-6</t>
  </si>
  <si>
    <t>001/0070/B</t>
  </si>
  <si>
    <t>VERA LUCIA DE LIMA</t>
  </si>
  <si>
    <t>13.493.781-8</t>
  </si>
  <si>
    <t>009.925.518-97</t>
  </si>
  <si>
    <t>6014.2024/0003048-0</t>
  </si>
  <si>
    <t>001/0070/C</t>
  </si>
  <si>
    <t>CRISTIANE GOMES FAGUNDES SILVA</t>
  </si>
  <si>
    <t>44.554.232-9</t>
  </si>
  <si>
    <t>351.956.718-00</t>
  </si>
  <si>
    <t>6014.2024/0002937-7</t>
  </si>
  <si>
    <t>001/0071/A</t>
  </si>
  <si>
    <t>001/0072/A</t>
  </si>
  <si>
    <t>JANAINA MARIA DOS SANTOS</t>
  </si>
  <si>
    <t>36.063.131-9</t>
  </si>
  <si>
    <t>463.855.868-20</t>
  </si>
  <si>
    <t>6014.2024/0005237-9</t>
  </si>
  <si>
    <t>001/0073/A</t>
  </si>
  <si>
    <t>MARIA DOS SANTOS</t>
  </si>
  <si>
    <t>54.966.487-7</t>
  </si>
  <si>
    <t>867.154.705-10</t>
  </si>
  <si>
    <t>INDENIZAÇÃO COMÉRCIO</t>
  </si>
  <si>
    <t>6014.2024/0003151-7</t>
  </si>
  <si>
    <t>001/0073/B</t>
  </si>
  <si>
    <t>RECEBEU INDENIZAÇÃO PELO SELO 001/0073/A</t>
  </si>
  <si>
    <t>001/0073/C</t>
  </si>
  <si>
    <t>FERNANDA BATISTA CARDOSO</t>
  </si>
  <si>
    <t>52.722.551-4</t>
  </si>
  <si>
    <t>410.895.278-29</t>
  </si>
  <si>
    <t>CLAUDIANE DOS SANTOS PEREIRA</t>
  </si>
  <si>
    <t>38.941.308-2</t>
  </si>
  <si>
    <t>373.479.638-50</t>
  </si>
  <si>
    <t>6014.2024/0005231-0</t>
  </si>
  <si>
    <t>001/0074/A</t>
  </si>
  <si>
    <t>ADRIELLE PEREIRA DO SANTOS</t>
  </si>
  <si>
    <t>66.765.206-1</t>
  </si>
  <si>
    <t>863.817.755-05</t>
  </si>
  <si>
    <t>DOUGLAS RAMOS PEREIRA</t>
  </si>
  <si>
    <t>52.281.365-3</t>
  </si>
  <si>
    <t xml:space="preserve"> 440.130.578-75</t>
  </si>
  <si>
    <t>6014.2024/0005234-4</t>
  </si>
  <si>
    <t>001/0075/A</t>
  </si>
  <si>
    <t>ERICK NASCIMENTO LOPES</t>
  </si>
  <si>
    <t>36.912.337-2</t>
  </si>
  <si>
    <t>509.316.658-84</t>
  </si>
  <si>
    <t>6014.2024/0003370-6</t>
  </si>
  <si>
    <t>001/0076/A</t>
  </si>
  <si>
    <t>ANTONIA FERREIRA DE OLIVEIRA AMORIM</t>
  </si>
  <si>
    <t>56.458.495-2</t>
  </si>
  <si>
    <t>809.602.003-04</t>
  </si>
  <si>
    <t>CONCLUIDO</t>
  </si>
  <si>
    <t>6014.2025/0004825-0</t>
  </si>
  <si>
    <t>AGUARDANDO PUBLICAÇÃO DOC</t>
  </si>
  <si>
    <t>001/0076/B</t>
  </si>
  <si>
    <t>RECEBEU INDENIZAÇÃO PELO SELO 001/0076/A</t>
  </si>
  <si>
    <t>001/0076/C</t>
  </si>
  <si>
    <t>GRAZIELA DE SOUZA FREITAS</t>
  </si>
  <si>
    <t>45.680.686-6</t>
  </si>
  <si>
    <t>378.453.548-80</t>
  </si>
  <si>
    <t>001/0077/A</t>
  </si>
  <si>
    <t>GERLANE DE OLIVEIRA BARBOSA</t>
  </si>
  <si>
    <t>55.436.267-3</t>
  </si>
  <si>
    <t>059.346.715-96</t>
  </si>
  <si>
    <t>FELIPE MATHEUS ARCANJO DA SILVA</t>
  </si>
  <si>
    <t>52.248.869-9</t>
  </si>
  <si>
    <t>400.147.918-46</t>
  </si>
  <si>
    <t>6014.2024/0002988-1</t>
  </si>
  <si>
    <t>001/0078/A</t>
  </si>
  <si>
    <t>SIMONE BARBOSA MORAO DA MATA</t>
  </si>
  <si>
    <t>24.266.039-3</t>
  </si>
  <si>
    <t>269.550.398-90</t>
  </si>
  <si>
    <t>6014.2024/0003012-0</t>
  </si>
  <si>
    <t>001/0078/B</t>
  </si>
  <si>
    <t>MARIA APARECIDA PEREIRA ALVES</t>
  </si>
  <si>
    <t>001/0079/A</t>
  </si>
  <si>
    <t>TAMIRES MIQUELINO ALVES</t>
  </si>
  <si>
    <t>57.141.461-8</t>
  </si>
  <si>
    <t>468.365.388-50</t>
  </si>
  <si>
    <t>6014.2024/0003014-6</t>
  </si>
  <si>
    <t>001/0080/B</t>
  </si>
  <si>
    <t>MARCELO MESSIAS DA SILVA</t>
  </si>
  <si>
    <t>39.309.735-3</t>
  </si>
  <si>
    <t>117.483.644-05</t>
  </si>
  <si>
    <t>6014.2024/0002551-7</t>
  </si>
  <si>
    <t>001/0080A</t>
  </si>
  <si>
    <t>ERICKY HENRIQUE DE MATOS</t>
  </si>
  <si>
    <t>57.491.143-1</t>
  </si>
  <si>
    <t>586.440.148-03</t>
  </si>
  <si>
    <t>6014.2024/0002952-0</t>
  </si>
  <si>
    <t>001/0081/A</t>
  </si>
  <si>
    <t>FRANCISCO DA SILVA</t>
  </si>
  <si>
    <t>57.194.016-X</t>
  </si>
  <si>
    <t>091.777.354-39</t>
  </si>
  <si>
    <t xml:space="preserve">6014.2024/0002990-3 </t>
  </si>
  <si>
    <t>001/0082/A</t>
  </si>
  <si>
    <t>HIGOR EDSON SOARES DE OLIVEIRA</t>
  </si>
  <si>
    <t>54.418.297-2</t>
  </si>
  <si>
    <t>510.109.398-07</t>
  </si>
  <si>
    <t>ALEXANDRE DE LIMA AUGUSTO</t>
  </si>
  <si>
    <t>48.099.960-0</t>
  </si>
  <si>
    <t>404.129.408-84</t>
  </si>
  <si>
    <t>Planilha de SEHAB/PROJ, consta valor com bonificação.</t>
  </si>
  <si>
    <t>6014.2025/0004772-5</t>
  </si>
  <si>
    <t>001/0083/A</t>
  </si>
  <si>
    <t>ALEX BENJAMIM OLIVEIRA MOURA</t>
  </si>
  <si>
    <t>37.516.392-X</t>
  </si>
  <si>
    <t>860.754.973-15</t>
  </si>
  <si>
    <t>RECEBEU INDENIZAÇÃO PELO SELO 001/0083/B</t>
  </si>
  <si>
    <t>001/0083/B</t>
  </si>
  <si>
    <t>6014.2024/0002936-9</t>
  </si>
  <si>
    <t>001/0084/A</t>
  </si>
  <si>
    <t>SARA CEZAR CARDOSO</t>
  </si>
  <si>
    <t>53.082.659-8</t>
  </si>
  <si>
    <t>463.859.118-37</t>
  </si>
  <si>
    <t>JENNIFER TORQUATO SANTOS</t>
  </si>
  <si>
    <t>39.809.931-5</t>
  </si>
  <si>
    <t>497.568.908-19</t>
  </si>
  <si>
    <t>6014.2024/0003010-3</t>
  </si>
  <si>
    <t>001/0084/B</t>
  </si>
  <si>
    <t>SARITA RAMOS CARLOS TORQUATO</t>
  </si>
  <si>
    <t>43.521.758-6</t>
  </si>
  <si>
    <t>441.682.038-08</t>
  </si>
  <si>
    <t>001/0085/A</t>
  </si>
  <si>
    <t>SARA LIMA DE SOUZA</t>
  </si>
  <si>
    <t>57.678.900-8</t>
  </si>
  <si>
    <t>535.392.388-08</t>
  </si>
  <si>
    <t>6014.2024/0003474-5</t>
  </si>
  <si>
    <t>001/0085/B</t>
  </si>
  <si>
    <t>JANAINA LIMA DE SOUZA</t>
  </si>
  <si>
    <t>38.637.083-7</t>
  </si>
  <si>
    <t>349.033.288-13</t>
  </si>
  <si>
    <t>DANIEL LIMA DE SOUZA</t>
  </si>
  <si>
    <t>38.637.084-9</t>
  </si>
  <si>
    <t>454.010.758-55</t>
  </si>
  <si>
    <t>6014.2024/0003371-4</t>
  </si>
  <si>
    <t>001/0086/A</t>
  </si>
  <si>
    <t>JOSE DOMINGOS SANTOS SENA</t>
  </si>
  <si>
    <t>52.800.586-8</t>
  </si>
  <si>
    <t>029.867.085-28</t>
  </si>
  <si>
    <t>6014.2024/0005244-1</t>
  </si>
  <si>
    <t>001/0087/A</t>
  </si>
  <si>
    <t>TAIS APARECIDA DIAS SANTOS</t>
  </si>
  <si>
    <t>54.071.272-3</t>
  </si>
  <si>
    <t>424.856.328-20</t>
  </si>
  <si>
    <t>6014.2024/0003013-8</t>
  </si>
  <si>
    <t>001/0088/A</t>
  </si>
  <si>
    <t>GILVANIA DE OLIVEIRA CARVALHO</t>
  </si>
  <si>
    <t>36.489.631-0</t>
  </si>
  <si>
    <t>285.121.578-79</t>
  </si>
  <si>
    <t>001/0089/A</t>
  </si>
  <si>
    <t>MARIA FRANCISCA ARAUJO</t>
  </si>
  <si>
    <t>25.992.989-X</t>
  </si>
  <si>
    <t>038.075.248-43</t>
  </si>
  <si>
    <t>6014.2025/0002733-3</t>
  </si>
  <si>
    <t>001/0089/B</t>
  </si>
  <si>
    <t>ROGERIO CESAR ARAUJO FERNANDES</t>
  </si>
  <si>
    <t>29.311.409-2</t>
  </si>
  <si>
    <t>187.193.678-05</t>
  </si>
  <si>
    <t>6014.2025/0003426-7</t>
  </si>
  <si>
    <t>RECUSA ENTREGAR IMÓVEL</t>
  </si>
  <si>
    <t>001/0089/C</t>
  </si>
  <si>
    <t>JOÃO JOSÉ DOS SANTOS SILVA</t>
  </si>
  <si>
    <t>52.028.071-4</t>
  </si>
  <si>
    <t>346.874.258-44</t>
  </si>
  <si>
    <t>6014.2024/0003256-4</t>
  </si>
  <si>
    <t>001/0090/A</t>
  </si>
  <si>
    <t>EDNELIA CARVALHO DA SILVA</t>
  </si>
  <si>
    <t>43.977.775-6</t>
  </si>
  <si>
    <t>284.837.478-04</t>
  </si>
  <si>
    <t>VALTER ALVES DE LIMA</t>
  </si>
  <si>
    <t>17.489.590-2</t>
  </si>
  <si>
    <t>116.416.748-06</t>
  </si>
  <si>
    <t>6014.2024/0003046-4</t>
  </si>
  <si>
    <t>001/0091/A</t>
  </si>
  <si>
    <t>ANA CLAUDIA ALVES FERREIRA PINTO</t>
  </si>
  <si>
    <t>43.393.304-5</t>
  </si>
  <si>
    <t>379.792.448-85</t>
  </si>
  <si>
    <t>Falta o sobrenome "Alves" na Planilha de Valor Indenizatório</t>
  </si>
  <si>
    <t>6014.2024/0002535-5</t>
  </si>
  <si>
    <t>001/0092/A</t>
  </si>
  <si>
    <t>ISAURA DA SILVA FEITOSA</t>
  </si>
  <si>
    <t>7.962.271-9</t>
  </si>
  <si>
    <t>187.498.718-11</t>
  </si>
  <si>
    <t xml:space="preserve">
</t>
  </si>
  <si>
    <t>001/0093/A</t>
  </si>
  <si>
    <t>PHELIPE AUGUSTO FERREIRA DOS ANJOS</t>
  </si>
  <si>
    <t>49.249.821-0</t>
  </si>
  <si>
    <t>416.211.068-96</t>
  </si>
  <si>
    <t>6014.2024/0003118-5</t>
  </si>
  <si>
    <t>001/0093/B</t>
  </si>
  <si>
    <t>EDILENE FERREIRA DOS ANJOS</t>
  </si>
  <si>
    <t>24.990.535-8</t>
  </si>
  <si>
    <t>157.854.818-71</t>
  </si>
  <si>
    <t>6014.2024/0003119-3</t>
  </si>
  <si>
    <t>001/0093/C</t>
  </si>
  <si>
    <t>CINTIA KELLY DA CRUZ CORREA</t>
  </si>
  <si>
    <t>47.242.271-6</t>
  </si>
  <si>
    <t>397.561.828-06</t>
  </si>
  <si>
    <t>6014.2024/0003122-3</t>
  </si>
  <si>
    <t>001/0093/D</t>
  </si>
  <si>
    <t>WILLIAM DE OLIVEIRA ARAUJO</t>
  </si>
  <si>
    <t>48.059.288-3</t>
  </si>
  <si>
    <t>409.471.038-80</t>
  </si>
  <si>
    <t xml:space="preserve">6014.2024/0003078-2 </t>
  </si>
  <si>
    <t>001/0093/E</t>
  </si>
  <si>
    <t>EMILTON CARLOS FERREIRA</t>
  </si>
  <si>
    <t>29.498.958-4</t>
  </si>
  <si>
    <t>263.556.998-30</t>
  </si>
  <si>
    <t>6014.2025/0004094-1</t>
  </si>
  <si>
    <t>001/0093/F</t>
  </si>
  <si>
    <t>JOSE EDILSON FERREIRA</t>
  </si>
  <si>
    <t>53.017.814-X</t>
  </si>
  <si>
    <t>728.822.474-00</t>
  </si>
  <si>
    <t>Declaração endereço não consta o nome do munícipe.</t>
  </si>
  <si>
    <t>6014.2025/0004713-0</t>
  </si>
  <si>
    <t>001/0093/G</t>
  </si>
  <si>
    <t>ELIVANIA CRISTINA FERREIRA</t>
  </si>
  <si>
    <t>43.315.485-8</t>
  </si>
  <si>
    <t>322.186.628-33</t>
  </si>
  <si>
    <t>No cadastro Habitasampa não aparece o nome da munícipe e declaração endereço não consta o nome da munícipe.</t>
  </si>
  <si>
    <t>6014.2025/0004730-0</t>
  </si>
  <si>
    <t>001/0093/H</t>
  </si>
  <si>
    <t>LUZIA FERREIRA NETO</t>
  </si>
  <si>
    <t>53.296.790-2</t>
  </si>
  <si>
    <t>427.217.924-15</t>
  </si>
  <si>
    <t>Nome errado no laudo e planilha de SEHAB/PROJ.</t>
  </si>
  <si>
    <t>6014.2025/0004756-3</t>
  </si>
  <si>
    <t>AGUARDANDO ELABORAÇÃO</t>
  </si>
  <si>
    <t>001/0132/A</t>
  </si>
  <si>
    <t>JOSE EDVALDO DE MENDONÇA</t>
  </si>
  <si>
    <t>20.511.744-2</t>
  </si>
  <si>
    <t>105.803.158-94</t>
  </si>
  <si>
    <t>001/0132/B</t>
  </si>
  <si>
    <t>DEBORA BEZERRA DE MENDONÇA</t>
  </si>
  <si>
    <t>33.294.604-6</t>
  </si>
  <si>
    <t>335.176.138-43</t>
  </si>
  <si>
    <t>001/0132/C</t>
  </si>
  <si>
    <t>VANUZA FERREIRA CARVALHO</t>
  </si>
  <si>
    <t>23.824.046-0</t>
  </si>
  <si>
    <t>129.361.268-51</t>
  </si>
  <si>
    <t>001/0132/D</t>
  </si>
  <si>
    <t>VERA LUCIA FERREIRA DE MENDONÇA</t>
  </si>
  <si>
    <t>18.984.260-X</t>
  </si>
  <si>
    <t>089.334.458-38</t>
  </si>
  <si>
    <t>001/0133/A</t>
  </si>
  <si>
    <t>AGUARDANDO SAQUE AA</t>
  </si>
  <si>
    <t>001/0134/A</t>
  </si>
  <si>
    <t>BERNADETE WERTHSCHULTE</t>
  </si>
  <si>
    <t>11.713.801-0</t>
  </si>
  <si>
    <t>219.339.938-71</t>
  </si>
  <si>
    <t xml:space="preserve">PENDÊNCIA PLANILHA PROJ </t>
  </si>
  <si>
    <t>6014.2023/0005034-0</t>
  </si>
  <si>
    <t>001/0135/A</t>
  </si>
  <si>
    <t>VANDA MARILIA DE JESUS</t>
  </si>
  <si>
    <t>25.324.574-6</t>
  </si>
  <si>
    <t>146.252.158-46</t>
  </si>
  <si>
    <t>6014.2024/0002462-6</t>
  </si>
  <si>
    <t>001/0136/A</t>
  </si>
  <si>
    <t>THIAGO BASILIO DA SILVA</t>
  </si>
  <si>
    <t>43.315.160-2</t>
  </si>
  <si>
    <t>331.644.038-01</t>
  </si>
  <si>
    <t>No Termo de Indenização consta 43.700,00; na Planilha PROJ consta o valor de 39.500,00;</t>
  </si>
  <si>
    <t>6014.2023/0005186-9</t>
  </si>
  <si>
    <t>001/0137/A</t>
  </si>
  <si>
    <t>EDMILSON ALVES GONDIM</t>
  </si>
  <si>
    <t>39.131.748-9</t>
  </si>
  <si>
    <t>376.258.208-12</t>
  </si>
  <si>
    <t>6014.2023/0005042-0</t>
  </si>
  <si>
    <t>001/0138/A</t>
  </si>
  <si>
    <t>FRANCISCA AMANCIO GOMES</t>
  </si>
  <si>
    <t>48.487.666-1</t>
  </si>
  <si>
    <t>370.756.178-00</t>
  </si>
  <si>
    <t>JOSÉ JAILTON GALDINO DA SILVA</t>
  </si>
  <si>
    <t>55.055.603-5</t>
  </si>
  <si>
    <t>649.221.975-91</t>
  </si>
  <si>
    <t>6014.2023/0005166-4</t>
  </si>
  <si>
    <t>TERMO INDENIZAÇÃO E PLANILHA COM VALOR INCORRETO</t>
  </si>
  <si>
    <t>001/0139/A</t>
  </si>
  <si>
    <t>ARIANE REGINA SOMÕES CUNHA</t>
  </si>
  <si>
    <t>42.637.065-X</t>
  </si>
  <si>
    <t>319.030.238-31</t>
  </si>
  <si>
    <t>30.010.132-6</t>
  </si>
  <si>
    <t>RECEBEU INDENIZAÇÃO PELO SELO 001/0139/C</t>
  </si>
  <si>
    <t>001/0139/B</t>
  </si>
  <si>
    <t>001/0139/C</t>
  </si>
  <si>
    <t>6014.2023/0003970-2</t>
  </si>
  <si>
    <t>001/0140/A</t>
  </si>
  <si>
    <t>GREICE MENDONÇA BATISTA</t>
  </si>
  <si>
    <t>43.529.901-3</t>
  </si>
  <si>
    <t>450.506.238-47</t>
  </si>
  <si>
    <t>6014.2023/0004371-8</t>
  </si>
  <si>
    <t>001/0140/B</t>
  </si>
  <si>
    <t>RAPHAEL SOTTI BONACUORE</t>
  </si>
  <si>
    <t>38.929.388-X</t>
  </si>
  <si>
    <t>538.137.388-09</t>
  </si>
  <si>
    <t>Valor contido no termo de acordo de indenização (R$ 41.430,54) diferente no laudo e planilha SEHAB/PROJ (R$ 41.174,12).</t>
  </si>
  <si>
    <t>6014.2023/0004406-4</t>
  </si>
  <si>
    <t>001/0141/A</t>
  </si>
  <si>
    <t>PATRICK NERES DA SILVA</t>
  </si>
  <si>
    <t>38.498.332-7</t>
  </si>
  <si>
    <t>423.515.908-99</t>
  </si>
  <si>
    <t xml:space="preserve">AUXILIO ALUGUEL UH </t>
  </si>
  <si>
    <t>JOÃO DE ARAUJO NETO</t>
  </si>
  <si>
    <t>20.346.223-3</t>
  </si>
  <si>
    <t>137.887.358-05</t>
  </si>
  <si>
    <t>6014.2023/0005139-7</t>
  </si>
  <si>
    <t>001/0141/B</t>
  </si>
  <si>
    <t>CAICK NERES DA SILVA</t>
  </si>
  <si>
    <t>38.498.346-7</t>
  </si>
  <si>
    <t>423.516.088-52</t>
  </si>
  <si>
    <t>RECEBEU INDENIZAÇÃO PELO SELO 001/0141/A</t>
  </si>
  <si>
    <t>001/0142/A</t>
  </si>
  <si>
    <t>JONATHAN ERICK PEREIRA DE ANDRADE</t>
  </si>
  <si>
    <t>53.509.954-X</t>
  </si>
  <si>
    <t>444.171.658-31</t>
  </si>
  <si>
    <t>WESLEY MAXWEL LIMA DE SOUZA</t>
  </si>
  <si>
    <t>49.164.487-5</t>
  </si>
  <si>
    <t>347.437.728-00</t>
  </si>
  <si>
    <t>6014.2023/0004407-2</t>
  </si>
  <si>
    <t>001/0142/B</t>
  </si>
  <si>
    <t>NADIA DIAS CLARO</t>
  </si>
  <si>
    <t>49.474.727-4</t>
  </si>
  <si>
    <t>419.945.518-36</t>
  </si>
  <si>
    <t>6014.2023/0005015-3</t>
  </si>
  <si>
    <t>001/0142/C</t>
  </si>
  <si>
    <t>THAMIRES PRADO DAMASCENO</t>
  </si>
  <si>
    <t>57.389.393-7</t>
  </si>
  <si>
    <t>508.307.968-27</t>
  </si>
  <si>
    <t>001/0142/D</t>
  </si>
  <si>
    <t>VICTOR HUGO FELIX DOS SANTOS</t>
  </si>
  <si>
    <t>39.644.301-1</t>
  </si>
  <si>
    <t>389.328.058-81</t>
  </si>
  <si>
    <t>Cadastro habitasampa não aparece o nome do munícipe;  Tela de Sistema/Escolaridade;Tela de Sistema/Escolaridade; Valor no laudo e planilha PROJ SEI, R$ 40.700,00, diferente do termo de acordo de indenização, R$ 41.000,00.</t>
  </si>
  <si>
    <t>6014.2023/0004408-0</t>
  </si>
  <si>
    <t>001/0143/A</t>
  </si>
  <si>
    <t>MARLY FEBRONIA DOS SANTOS</t>
  </si>
  <si>
    <t>17.907.634-6</t>
  </si>
  <si>
    <t>101.664.878-21</t>
  </si>
  <si>
    <t>001/0144/A</t>
  </si>
  <si>
    <t>MEIRE ELEN DE OLIVEIRA</t>
  </si>
  <si>
    <t>57.338.525-7</t>
  </si>
  <si>
    <t>471.043.328-39</t>
  </si>
  <si>
    <t>GABRIEL JUSTINO CHAGAS</t>
  </si>
  <si>
    <t>36.472.933-8</t>
  </si>
  <si>
    <t>428.620.628-98</t>
  </si>
  <si>
    <t>6014.2023/0004409-9</t>
  </si>
  <si>
    <t>001/0145/A</t>
  </si>
  <si>
    <t>STEFANE PEREIRA DOS SANTOS</t>
  </si>
  <si>
    <t>55.197.895-8</t>
  </si>
  <si>
    <t>501.089.688-55</t>
  </si>
  <si>
    <t>6014.2023/0004410-2</t>
  </si>
  <si>
    <t>001/0145/B</t>
  </si>
  <si>
    <t>SAMUEL FELIX DA ROCHA</t>
  </si>
  <si>
    <t>17.672.090-X</t>
  </si>
  <si>
    <t>055.298.158-39</t>
  </si>
  <si>
    <t>001/0146/A</t>
  </si>
  <si>
    <t>THAINA DOS SANTOS FERREIRA</t>
  </si>
  <si>
    <t>52.457.138-7</t>
  </si>
  <si>
    <t>476.491.578-22</t>
  </si>
  <si>
    <t xml:space="preserve">Mudou de opção de atendimento/ optou por auxilio aluguel </t>
  </si>
  <si>
    <t>001/0146/B</t>
  </si>
  <si>
    <t>WILLIAM SANTOS FERREIRA</t>
  </si>
  <si>
    <t>52.457.139-9</t>
  </si>
  <si>
    <t>542.195.798-50</t>
  </si>
  <si>
    <t>001/0147/A</t>
  </si>
  <si>
    <t>NAYANI FERREIRA DA SILVA</t>
  </si>
  <si>
    <t>66.256.947-7</t>
  </si>
  <si>
    <t>068.224.475-98</t>
  </si>
  <si>
    <t>ZENILDA MARIA DE SENA</t>
  </si>
  <si>
    <t>50.160.178-8</t>
  </si>
  <si>
    <t xml:space="preserve"> 385.859.858-52</t>
  </si>
  <si>
    <t>OPTOU PELA INDENIZAÇÃO SELO 001/147/B</t>
  </si>
  <si>
    <t>001/0147/B</t>
  </si>
  <si>
    <t>DAMIÃO BATISTA CARDOSO</t>
  </si>
  <si>
    <t>54.409.104-8</t>
  </si>
  <si>
    <t>911.416.724-72</t>
  </si>
  <si>
    <t>No Termo de Indenização consta 60.000,00; Na planilha PROJ consta 59.900,00</t>
  </si>
  <si>
    <t>6014.2023/0005165-6</t>
  </si>
  <si>
    <t>001/0148/A</t>
  </si>
  <si>
    <t>REGINA MARTA FERREIRA DOS SANTOS</t>
  </si>
  <si>
    <t>59.165.165-8</t>
  </si>
  <si>
    <t>075.071.574-07</t>
  </si>
  <si>
    <t>001/0149/A</t>
  </si>
  <si>
    <t>JACENITA GOMES COELHO</t>
  </si>
  <si>
    <t>32.173.977-2</t>
  </si>
  <si>
    <t>184.911.508-70</t>
  </si>
  <si>
    <t xml:space="preserve"> Laudo com CPF errado</t>
  </si>
  <si>
    <t>6014.2023/0001488-2</t>
  </si>
  <si>
    <t>001/0150/A</t>
  </si>
  <si>
    <t>JOSE WILSON DE BRITO SILVA</t>
  </si>
  <si>
    <t>38.056.631-X</t>
  </si>
  <si>
    <t>751.207.714-91</t>
  </si>
  <si>
    <t>AUXÍLIO ALUGUEL ATÉ INDENIZAÇÃO</t>
  </si>
  <si>
    <t>Auxílio aluguel bloqueado, devido ao recebimento da indenização</t>
  </si>
  <si>
    <t>6014.2023/0001996-5</t>
  </si>
  <si>
    <t>001/0151/A</t>
  </si>
  <si>
    <t>INES APARECIDA DOS SANTOS</t>
  </si>
  <si>
    <t>30.441.203-X</t>
  </si>
  <si>
    <t>301.521.398-93</t>
  </si>
  <si>
    <t>6014.2023/0002079-3</t>
  </si>
  <si>
    <t>001/0152/A</t>
  </si>
  <si>
    <t>ERIKA KARINE DOS SANTOS</t>
  </si>
  <si>
    <t>68.140.246-5</t>
  </si>
  <si>
    <t>111.888.544-96</t>
  </si>
  <si>
    <t>MARIA LUCIENE DOS SANTOS</t>
  </si>
  <si>
    <t>64.896.240-4</t>
  </si>
  <si>
    <t>903.228.604-82</t>
  </si>
  <si>
    <t>PROPRIETARIA FALECIDA</t>
  </si>
  <si>
    <t>001/0152/B</t>
  </si>
  <si>
    <t>JOSÉ FRANCISCO DA SILVA FILHO</t>
  </si>
  <si>
    <t>37.308.652-0</t>
  </si>
  <si>
    <t>640.028.454-00</t>
  </si>
  <si>
    <t>6014.2023/0001908-6</t>
  </si>
  <si>
    <t>001/0153/A</t>
  </si>
  <si>
    <t>CELIANE SANTANA DOS SANTOS</t>
  </si>
  <si>
    <t>45.013.971-2</t>
  </si>
  <si>
    <t>359.767.918-83</t>
  </si>
  <si>
    <t>6014.2023/0002360-1</t>
  </si>
  <si>
    <t>001/0154/A</t>
  </si>
  <si>
    <t>ELIANE CRISTINA LIMA DE OLIVEIRA</t>
  </si>
  <si>
    <t>35.776.225-3</t>
  </si>
  <si>
    <t>348.527.258-29</t>
  </si>
  <si>
    <t>6014.2023/0001912-4</t>
  </si>
  <si>
    <t>001/0155/A</t>
  </si>
  <si>
    <t>ANDREZA ROSA DA SILVA</t>
  </si>
  <si>
    <t>43.310.792-3</t>
  </si>
  <si>
    <t>350.090.238-30</t>
  </si>
  <si>
    <t>No Termo de Indenização consta 35.300,00; Na planilha PROJ consta 35.200,00;</t>
  </si>
  <si>
    <t>6014.2023/0004451-0</t>
  </si>
  <si>
    <t>001/0156/A</t>
  </si>
  <si>
    <t>MARIA ALICE DE JESUS BONIFACIO</t>
  </si>
  <si>
    <t>47.433.745-5</t>
  </si>
  <si>
    <t>402.394.138-73</t>
  </si>
  <si>
    <t>16-ago-23</t>
  </si>
  <si>
    <t>001/0157/A</t>
  </si>
  <si>
    <t>NEILDES GONZAGA GUIMARÃES DE LIMA</t>
  </si>
  <si>
    <t>56.459.431-3</t>
  </si>
  <si>
    <t>928.570.355-00</t>
  </si>
  <si>
    <t>6014.2023/0004934-1</t>
  </si>
  <si>
    <t>001/0158/A</t>
  </si>
  <si>
    <t>MARCIA SILVA DOS SANTOS</t>
  </si>
  <si>
    <t>37.621.698-0</t>
  </si>
  <si>
    <t>437.785.328-71</t>
  </si>
  <si>
    <t>6014.2023/0005136-2</t>
  </si>
  <si>
    <t>001/0159/A</t>
  </si>
  <si>
    <t>MARIO BARBOSA DOS SANTOS</t>
  </si>
  <si>
    <t>55.655.966-6</t>
  </si>
  <si>
    <t>002.914.431-09</t>
  </si>
  <si>
    <t>ANDREIA ALMEIDA LIMA</t>
  </si>
  <si>
    <t>40.905.942-0</t>
  </si>
  <si>
    <t>335.303.698-96</t>
  </si>
  <si>
    <t>6014.2023/0004890-6</t>
  </si>
  <si>
    <t>001/0160/A</t>
  </si>
  <si>
    <t>ELIANA SANTANA DA SILVA</t>
  </si>
  <si>
    <t>36.176.941-6</t>
  </si>
  <si>
    <t>325.768.158-55</t>
  </si>
  <si>
    <t>6014.2023/0003976-1</t>
  </si>
  <si>
    <t>001/0160/B</t>
  </si>
  <si>
    <t>OSMAR LUIS DOS SANTOS</t>
  </si>
  <si>
    <t>35.448.689-5</t>
  </si>
  <si>
    <t>472.048.854-49</t>
  </si>
  <si>
    <t>VALOR TERMO INCORRETO</t>
  </si>
  <si>
    <t>6014.2024/0002674-2</t>
  </si>
  <si>
    <t xml:space="preserve">ALFREDO ÁVILA </t>
  </si>
  <si>
    <t>001/0160/C</t>
  </si>
  <si>
    <t>WENDEL DA SILVA COSTA</t>
  </si>
  <si>
    <t>29.063.584-6</t>
  </si>
  <si>
    <t>321.517.798-66</t>
  </si>
  <si>
    <t>6014.2024/0002701-3</t>
  </si>
  <si>
    <t>001/0160/D</t>
  </si>
  <si>
    <t>MARIA APARECIDA FLAVIA DE LIMA SILVA SANTOS</t>
  </si>
  <si>
    <t>49.596.782-8</t>
  </si>
  <si>
    <t>381.764.018-89</t>
  </si>
  <si>
    <t>6014.2024/0002668-8</t>
  </si>
  <si>
    <t>001/0161/A</t>
  </si>
  <si>
    <t>PAULO EDSON DE LIMA</t>
  </si>
  <si>
    <t>45.752.614-2</t>
  </si>
  <si>
    <t>341.180.418-12</t>
  </si>
  <si>
    <t>Tela/Escolaridade; Valor no termo de acordo de indenização, R$ 42.800,00 e na planilha R$ 42.500.</t>
  </si>
  <si>
    <t>6014.2023/0004412-9</t>
  </si>
  <si>
    <t>001/0161/B</t>
  </si>
  <si>
    <t>DAVI KAWAN BATISTA DE LIMA</t>
  </si>
  <si>
    <t>58.334.561-X</t>
  </si>
  <si>
    <t>533.237.468-21</t>
  </si>
  <si>
    <t>6014.2024/0002640-8</t>
  </si>
  <si>
    <t>001/0162/A</t>
  </si>
  <si>
    <t>GISLAINE MOURA MENDES DA SILVA</t>
  </si>
  <si>
    <t>57.510.358-9</t>
  </si>
  <si>
    <t>323.408.418-10</t>
  </si>
  <si>
    <t>Termo de Indenização com valor diferente da planilha de PROJ.</t>
  </si>
  <si>
    <t>6014.2023/0005025-0</t>
  </si>
  <si>
    <t>001/0163/A</t>
  </si>
  <si>
    <t>EDIVALDO DOMINGOS DE SANTANA</t>
  </si>
  <si>
    <t>50.331.683-0</t>
  </si>
  <si>
    <t>006.769.227-32</t>
  </si>
  <si>
    <t>001/0164/A</t>
  </si>
  <si>
    <t>ORNEI LUIZ TEODORO</t>
  </si>
  <si>
    <t>58.858.404-6</t>
  </si>
  <si>
    <t>124.533.196-55</t>
  </si>
  <si>
    <t>6014.2023/0004413-7</t>
  </si>
  <si>
    <t>001/0164/B</t>
  </si>
  <si>
    <t>ERLEI LUIZ TEODORO</t>
  </si>
  <si>
    <t>MG17.736.836</t>
  </si>
  <si>
    <t>417.887.168-41</t>
  </si>
  <si>
    <t>6014.2023/0001806-3</t>
  </si>
  <si>
    <t>001/0165/A</t>
  </si>
  <si>
    <t>MIRALVA SILVA SANTOS</t>
  </si>
  <si>
    <t>43.393.138-3</t>
  </si>
  <si>
    <t>437.783.118-67</t>
  </si>
  <si>
    <t>6014.2023/0001926-4</t>
  </si>
  <si>
    <t>001/0166/A</t>
  </si>
  <si>
    <t>KEILA LIMA DOS SANTOS</t>
  </si>
  <si>
    <t>49.141.179-0</t>
  </si>
  <si>
    <t>441.368.448-67</t>
  </si>
  <si>
    <t>TERMO DE INDENIZAÇÃO COM VALOR DE  36.200,00 E PLANILHA PROJ COM VALOR 36.000,00</t>
  </si>
  <si>
    <t>6014.2023/0004458-7</t>
  </si>
  <si>
    <t>001/0166/B</t>
  </si>
  <si>
    <t>DANIEL CABRAL</t>
  </si>
  <si>
    <t>24.947.564-9</t>
  </si>
  <si>
    <t>147.314.458-25</t>
  </si>
  <si>
    <t xml:space="preserve">Não será incluido no auxilio aluguel, foi identificado que ja recebeu atendimento habitacional através da regularização fundiaria </t>
  </si>
  <si>
    <t>6014.2023/0001994-9</t>
  </si>
  <si>
    <t>001/0166/C</t>
  </si>
  <si>
    <t>JOSE DE SOUSA NETO</t>
  </si>
  <si>
    <t>54.268.765-3</t>
  </si>
  <si>
    <t>974.700.665-00</t>
  </si>
  <si>
    <t>6014.2023/0002112-9</t>
  </si>
  <si>
    <t>001/0167/A</t>
  </si>
  <si>
    <t>LEISE DAYANA DO NASCIMENTO</t>
  </si>
  <si>
    <t>43.315.395-7</t>
  </si>
  <si>
    <t>312.475.428-07</t>
  </si>
  <si>
    <t>6014.2023/0004454-4</t>
  </si>
  <si>
    <t>001/0167/B</t>
  </si>
  <si>
    <t>NATHALIE D'ANGELIS DO NASCIMENTO SILVA</t>
  </si>
  <si>
    <t>53.267.636-1</t>
  </si>
  <si>
    <t>499.415.878-92</t>
  </si>
  <si>
    <t>TERMO DE INDENIZAÇÃO COM VALOR DE  54.700,00 E PLANILHA PROJ COM VALOR 54.200,00</t>
  </si>
  <si>
    <t>6014.2023/0004459-5</t>
  </si>
  <si>
    <t>001/0168/A</t>
  </si>
  <si>
    <t>GABRIELLA BARRA DOS SANTOS</t>
  </si>
  <si>
    <t>57.371.285-2</t>
  </si>
  <si>
    <t>391.759.408-09</t>
  </si>
  <si>
    <t>RECEBEU AA PELO SELO 002/0122/A</t>
  </si>
  <si>
    <t>VAGNER DOS SANTOS BARRA</t>
  </si>
  <si>
    <t>46.603.314-X</t>
  </si>
  <si>
    <t>027.986.795-67</t>
  </si>
  <si>
    <t>001/0169/A</t>
  </si>
  <si>
    <t>JANE CRISTINA BORGES DA SILVA</t>
  </si>
  <si>
    <t>58.770.561-9</t>
  </si>
  <si>
    <t>001.281.155-64</t>
  </si>
  <si>
    <t>001/0170/A</t>
  </si>
  <si>
    <t>MARCOS SANTOS PACHECO</t>
  </si>
  <si>
    <t>50.057.591-5</t>
  </si>
  <si>
    <t>006.613.125-18</t>
  </si>
  <si>
    <t>001/0173/A</t>
  </si>
  <si>
    <t>BRUNO VIEIRA MENEZES</t>
  </si>
  <si>
    <t>44.327.605-5</t>
  </si>
  <si>
    <t>365.678.998-32</t>
  </si>
  <si>
    <t>001/0174/A</t>
  </si>
  <si>
    <t>NAYARA SANTOS DIAS DA SILVA</t>
  </si>
  <si>
    <t>38.849.492-X</t>
  </si>
  <si>
    <t>494.175.998-28</t>
  </si>
  <si>
    <t>6014.2023/0004455-2</t>
  </si>
  <si>
    <t>001/0174/B</t>
  </si>
  <si>
    <t>MARIA AMELIA GOMES BARROS</t>
  </si>
  <si>
    <t>22.700.752-9</t>
  </si>
  <si>
    <t>291.660.348-41</t>
  </si>
  <si>
    <t>ÉRICA DE JESUS SANTOS</t>
  </si>
  <si>
    <t>55.018.077-1</t>
  </si>
  <si>
    <t>414.471.548-51</t>
  </si>
  <si>
    <t>6014.2023/0004860-4</t>
  </si>
  <si>
    <t>001/0174/C</t>
  </si>
  <si>
    <t>GABRIELA OLIVEIRA ALCÂNTARA</t>
  </si>
  <si>
    <t>36.621.550-4</t>
  </si>
  <si>
    <t>426.182.278-40</t>
  </si>
  <si>
    <t>Conta corrente consta como "Gabriela Silva Alcantara"; Não foi encontrado o nome de Gabriela Oliveira Alcântara nas planilhas, para o selo 0010174C consta o nome de Cristiano Antônio de Oliveira Barbosa</t>
  </si>
  <si>
    <t>6014.2023/0004414-5</t>
  </si>
  <si>
    <t>001/0174/D</t>
  </si>
  <si>
    <t>ZENAIDE DE OLIVEIRA</t>
  </si>
  <si>
    <t>14.697.277-6</t>
  </si>
  <si>
    <t>037.236.378-41</t>
  </si>
  <si>
    <t>No Termo de Indenização consta 56.200,00; Na planilha PROJ consta 55.600,00;</t>
  </si>
  <si>
    <t>6014.2023/0004466-8</t>
  </si>
  <si>
    <t>001/0175/A</t>
  </si>
  <si>
    <t>CLAUDINEI LIMA NOVAIS</t>
  </si>
  <si>
    <t>43.634.449-X</t>
  </si>
  <si>
    <t>317.103.688-61</t>
  </si>
  <si>
    <t>001/0176/A</t>
  </si>
  <si>
    <t>ELAINE APARECIDA DE OLIVEIRA SANTANA</t>
  </si>
  <si>
    <t>25.626.568-9</t>
  </si>
  <si>
    <t>157.366.838-90</t>
  </si>
  <si>
    <t>001/0176/D</t>
  </si>
  <si>
    <t>DANIELLE CRISTINA OLIVEIRA SANTANA</t>
  </si>
  <si>
    <t>49.160.771-4</t>
  </si>
  <si>
    <t>422.960.288-02</t>
  </si>
  <si>
    <t>6014.2024/0000890-6</t>
  </si>
  <si>
    <t>001/0179/A</t>
  </si>
  <si>
    <t>MARCELO PEREIRA LIMA</t>
  </si>
  <si>
    <t>001/0180/B</t>
  </si>
  <si>
    <t>EDILSON JOSE DA SILVA ALMEIDA</t>
  </si>
  <si>
    <t>001/0180/C</t>
  </si>
  <si>
    <t>001/0205/A</t>
  </si>
  <si>
    <t>001/0205/B</t>
  </si>
  <si>
    <t>001/0206/A</t>
  </si>
  <si>
    <t>ANGELISA SANTECLLER SILVA DE ANDRADE</t>
  </si>
  <si>
    <t>42.198.617-7</t>
  </si>
  <si>
    <t>378.425.848-42</t>
  </si>
  <si>
    <t>6014.2022/0004034-2</t>
  </si>
  <si>
    <t>001/0206/B</t>
  </si>
  <si>
    <t>ANTONIO CARLOS DE ANDRADE JUNIOR</t>
  </si>
  <si>
    <t>42.199.034-X</t>
  </si>
  <si>
    <t>324.734.628-79</t>
  </si>
  <si>
    <t>6014.2022/0004035-0</t>
  </si>
  <si>
    <t>001/0207/A</t>
  </si>
  <si>
    <t>AILTON MOURA GONÇALVES</t>
  </si>
  <si>
    <t>27.221.262-5</t>
  </si>
  <si>
    <t>119.885.398-03</t>
  </si>
  <si>
    <t>6014.2023/0000371-6</t>
  </si>
  <si>
    <t>30-out-23</t>
  </si>
  <si>
    <t>001/0207/B</t>
  </si>
  <si>
    <t>27.221.862-5</t>
  </si>
  <si>
    <t>RECEBEU INDENIZAÇÃO PELO SELO 001/0207/A</t>
  </si>
  <si>
    <t>001/0207/C</t>
  </si>
  <si>
    <t xml:space="preserve">VAZIO </t>
  </si>
  <si>
    <t>MONICA PEREIRA DA SILVA</t>
  </si>
  <si>
    <t>29.360.735-7</t>
  </si>
  <si>
    <t>262.646.788-05</t>
  </si>
  <si>
    <t xml:space="preserve">INDENIZAÇÃO </t>
  </si>
  <si>
    <t>6014.2024/0004014-1</t>
  </si>
  <si>
    <t>001/0208/A</t>
  </si>
  <si>
    <t>DALENY FRANCISCO DE OLIVEIRA</t>
  </si>
  <si>
    <t>55.611.462-0</t>
  </si>
  <si>
    <t>454.327.988-32</t>
  </si>
  <si>
    <t>6014.2023/0000021-0</t>
  </si>
  <si>
    <t>001/0209/A</t>
  </si>
  <si>
    <t>SOLANGE MARTINS DE ARAUJO</t>
  </si>
  <si>
    <t>27.022.680-1</t>
  </si>
  <si>
    <t>332.695.498-06</t>
  </si>
  <si>
    <t>001/0210/A</t>
  </si>
  <si>
    <t>MARIA DE LOURDES DE JESUS</t>
  </si>
  <si>
    <t>Não possui documentos, trata-se de dependente de substâncias psicoativas, equipe está em contato com rede de saúde/serviços para conseguir viabilizar documentos</t>
  </si>
  <si>
    <t>001/0211/A</t>
  </si>
  <si>
    <t>THAYS CRISTINA NUNES</t>
  </si>
  <si>
    <t>40.582.131-1</t>
  </si>
  <si>
    <t>397.142.588-71</t>
  </si>
  <si>
    <t>Municipe com problema na Receita Federal</t>
  </si>
  <si>
    <t>001/0212/A</t>
  </si>
  <si>
    <t>WILLIAM PAIVA</t>
  </si>
  <si>
    <t>15.860.200-6</t>
  </si>
  <si>
    <t>045.986.248-09</t>
  </si>
  <si>
    <t>6014.2022/0004146-2</t>
  </si>
  <si>
    <t>002/0014/A</t>
  </si>
  <si>
    <t>VIVIANE COSTA DOS SANTOS DUARTE</t>
  </si>
  <si>
    <t>35.649.163-8</t>
  </si>
  <si>
    <t>307.251.918-80</t>
  </si>
  <si>
    <t>6014.2024/0001757-3</t>
  </si>
  <si>
    <t>002/0015/A</t>
  </si>
  <si>
    <t>CHAYENY COSTA DUARTE GUEDES</t>
  </si>
  <si>
    <t>38.305.844-2</t>
  </si>
  <si>
    <t>435.738.058-84</t>
  </si>
  <si>
    <t>Assinatura do Secretário no Termo de Indenização, correção dos dados bancários e planilha indenizatória consta erro no dígito do RG</t>
  </si>
  <si>
    <t>6014.2024/0002630-0</t>
  </si>
  <si>
    <t>002/0015/B</t>
  </si>
  <si>
    <t>002/0016/A</t>
  </si>
  <si>
    <t>KAROLINE PEREIRA QUEIROZ</t>
  </si>
  <si>
    <t>48.084.868-3</t>
  </si>
  <si>
    <t>420.008.978-51</t>
  </si>
  <si>
    <t>6014.2024/0004013-3</t>
  </si>
  <si>
    <t>002/0069/A</t>
  </si>
  <si>
    <t>002/0069/B</t>
  </si>
  <si>
    <t>AFRIZIO COSTA NUNES</t>
  </si>
  <si>
    <t>002/0069/C</t>
  </si>
  <si>
    <t>002/0115/A</t>
  </si>
  <si>
    <t>MARIA LÚCIA DE ARAÚJO</t>
  </si>
  <si>
    <t>62.184.905-4</t>
  </si>
  <si>
    <t>727.462.204-82</t>
  </si>
  <si>
    <t>JOSÉ MARIA DE ALMEIDA FILHO</t>
  </si>
  <si>
    <t>29.879.478-0</t>
  </si>
  <si>
    <t>126.504.078-83</t>
  </si>
  <si>
    <t>002/0115/B</t>
  </si>
  <si>
    <t>002/0115/C</t>
  </si>
  <si>
    <t>FELICIA MARIA ARAUJO</t>
  </si>
  <si>
    <t>57.653.552-7</t>
  </si>
  <si>
    <t>163.272.218-66</t>
  </si>
  <si>
    <t>002/0115/D</t>
  </si>
  <si>
    <t>TÚLIO DOS SANTOS OLIVEIRA</t>
  </si>
  <si>
    <t>65.912.495-6</t>
  </si>
  <si>
    <t>861.810.735-23</t>
  </si>
  <si>
    <t>6014.2023/0004810-8</t>
  </si>
  <si>
    <t>002/0116/A</t>
  </si>
  <si>
    <t>PALOMA INGRID DA SILVA ROSARIO</t>
  </si>
  <si>
    <t>48.109.934-7</t>
  </si>
  <si>
    <t>410.630.198-93</t>
  </si>
  <si>
    <t>002/0117/A</t>
  </si>
  <si>
    <t>UENDER BARROS DE SOUSA</t>
  </si>
  <si>
    <t> 39.644.709-0</t>
  </si>
  <si>
    <t> 119.824.726-69</t>
  </si>
  <si>
    <t>ELIANE IZABEL DA SILVA</t>
  </si>
  <si>
    <t>32.477.392-4</t>
  </si>
  <si>
    <t>330.378.368-30</t>
  </si>
  <si>
    <t>6014.2023/0003999-0</t>
  </si>
  <si>
    <t>002/0118/A</t>
  </si>
  <si>
    <t>MARIA APARECIDA RIBEIRO DA SILVA</t>
  </si>
  <si>
    <t>002/0119/A</t>
  </si>
  <si>
    <t>OSMARIO SANTANA SILVA</t>
  </si>
  <si>
    <t>55.549.404-4</t>
  </si>
  <si>
    <t>379.743.918-04</t>
  </si>
  <si>
    <t>002/0120/A</t>
  </si>
  <si>
    <t>THAYNA SILVA GOMES</t>
  </si>
  <si>
    <t>50.744.169-2</t>
  </si>
  <si>
    <t>520.804.608-38</t>
  </si>
  <si>
    <t>002/0121/A</t>
  </si>
  <si>
    <t>MOARA IRUPE DA SILVA PAIVA</t>
  </si>
  <si>
    <t>67.426.256-6</t>
  </si>
  <si>
    <t>000.185.392-97</t>
  </si>
  <si>
    <t>002/0122/A</t>
  </si>
  <si>
    <t>002/0123/A</t>
  </si>
  <si>
    <t>SUELLEN MENDONÇA DOS SANTOS</t>
  </si>
  <si>
    <t>47.346.813-X</t>
  </si>
  <si>
    <t>401.672.198-98</t>
  </si>
  <si>
    <t>002/0124/A</t>
  </si>
  <si>
    <t>MARIA EDINAILMA DE LIMA</t>
  </si>
  <si>
    <t>37.563.267-0</t>
  </si>
  <si>
    <t>030.970.704-86</t>
  </si>
  <si>
    <t>MAICÁ DA SILVA PAIVA</t>
  </si>
  <si>
    <t>007.530.652-23</t>
  </si>
  <si>
    <t>6014.2023/0004873-6</t>
  </si>
  <si>
    <t>002/0125/A</t>
  </si>
  <si>
    <t>THALIA THAYNA SOARES BRITO</t>
  </si>
  <si>
    <t>37.737.933-5</t>
  </si>
  <si>
    <t>486.377.788-44</t>
  </si>
  <si>
    <t>6014.2023/0001999-0</t>
  </si>
  <si>
    <t>002/0126/A</t>
  </si>
  <si>
    <t>FABIO LOPES FIRBIDA</t>
  </si>
  <si>
    <t>48.210.898-8</t>
  </si>
  <si>
    <t>399.635.318-90</t>
  </si>
  <si>
    <t>002/0127/A</t>
  </si>
  <si>
    <t>THAYNA RAFAELA DO PRADO</t>
  </si>
  <si>
    <t>57.264.237-4</t>
  </si>
  <si>
    <t>490.477.688-76</t>
  </si>
  <si>
    <t>002/0128/A</t>
  </si>
  <si>
    <t>CELI LEME</t>
  </si>
  <si>
    <t>22.585.948-8</t>
  </si>
  <si>
    <t>128.171.768-12</t>
  </si>
  <si>
    <t>TERMO DEVOLVIDO POR FALTA DE DOSSIE NO ONEDRIVE</t>
  </si>
  <si>
    <t>6014.2024/0001465-5</t>
  </si>
  <si>
    <t>002/0129/A</t>
  </si>
  <si>
    <t>JENIFFER MICHAELA SANTANA DOS SANTOS</t>
  </si>
  <si>
    <t>53.729.076-X</t>
  </si>
  <si>
    <t>238.931.378-74</t>
  </si>
  <si>
    <t>002/0130/A</t>
  </si>
  <si>
    <t>MARINALVA DE JESUS</t>
  </si>
  <si>
    <t>17.120.590-X</t>
  </si>
  <si>
    <t>055.162.168-00</t>
  </si>
  <si>
    <t>6014.2023/0001940-0</t>
  </si>
  <si>
    <t>002/0131/A</t>
  </si>
  <si>
    <t>JOSE CLAUDIO MATEUS SANTOS</t>
  </si>
  <si>
    <t>68.702.773-1</t>
  </si>
  <si>
    <t>922.298.835-34</t>
  </si>
  <si>
    <t>002/0132/A</t>
  </si>
  <si>
    <t>THAYNARA CRISTINA DO PRADO</t>
  </si>
  <si>
    <t>57.264.2017-6</t>
  </si>
  <si>
    <t>490.477.458-25</t>
  </si>
  <si>
    <t>6014.2023/0004964-3</t>
  </si>
  <si>
    <t>002/0133/A</t>
  </si>
  <si>
    <t>ALEX BONFIM DE JESUS</t>
  </si>
  <si>
    <t>37.325.998-0</t>
  </si>
  <si>
    <t>973.670.445-91</t>
  </si>
  <si>
    <t>NÃO SERÁ REMOVIDO</t>
  </si>
  <si>
    <t>ALEX BOMFIM DE JESUS</t>
  </si>
  <si>
    <t>RESIDÊNCIA NÃO SERÁ REMOVIDA</t>
  </si>
  <si>
    <t>6014.2023/0004457-9</t>
  </si>
  <si>
    <t>002/0134/A</t>
  </si>
  <si>
    <t>RENILDO CONCEIÇÃO DOS SANTOS</t>
  </si>
  <si>
    <t>52.202.874-3</t>
  </si>
  <si>
    <t>529.257.305-15</t>
  </si>
  <si>
    <t>003/0012/A</t>
  </si>
  <si>
    <t>KAIQUE ALVES DO CARMO</t>
  </si>
  <si>
    <t>56.430.240-5</t>
  </si>
  <si>
    <t>516.498.188-23</t>
  </si>
  <si>
    <t>003/0012/B</t>
  </si>
  <si>
    <t>JACILENE PORTO QUEIROZ</t>
  </si>
  <si>
    <t>49.596.702-6</t>
  </si>
  <si>
    <t>355.595.328-19</t>
  </si>
  <si>
    <t>003/0013/A</t>
  </si>
  <si>
    <t>RODRIGO CARDOSO DOS SANTOS SOUZA</t>
  </si>
  <si>
    <t>45.830.769-5</t>
  </si>
  <si>
    <t>382.644.288-19</t>
  </si>
  <si>
    <t>RONALDO PORTO QUEIROZ</t>
  </si>
  <si>
    <t>377.054.198-74</t>
  </si>
  <si>
    <t>003/0014/A</t>
  </si>
  <si>
    <t>CRISLAN ALVES DOS SANTOS</t>
  </si>
  <si>
    <t>53.083.212-4</t>
  </si>
  <si>
    <t>452.069.208-35</t>
  </si>
  <si>
    <t>6014.2023/0005251-2</t>
  </si>
  <si>
    <t>003/0014/B</t>
  </si>
  <si>
    <t>JOSE CLAUDIO ALVES DA SILVA</t>
  </si>
  <si>
    <t>34.727.599-0</t>
  </si>
  <si>
    <t>272.897.098-02</t>
  </si>
  <si>
    <t>6014.2023/0005110-9</t>
  </si>
  <si>
    <t>003/0014/C</t>
  </si>
  <si>
    <t>ROBERTO FERREIRA DE LIMA</t>
  </si>
  <si>
    <t>53.544.605-6</t>
  </si>
  <si>
    <t>048.698.904-61</t>
  </si>
  <si>
    <t>6014.2023/0004470-6</t>
  </si>
  <si>
    <t>003/0014/D</t>
  </si>
  <si>
    <t>SANDRA DOS SANTOS VICENTE</t>
  </si>
  <si>
    <t>28.007.471-2</t>
  </si>
  <si>
    <t>173.482.628-21</t>
  </si>
  <si>
    <t>6014.2023/0004453-6</t>
  </si>
  <si>
    <t>003/0014/E</t>
  </si>
  <si>
    <t>JOSE FERREIRA DE LIMA</t>
  </si>
  <si>
    <t>36.894.204-1</t>
  </si>
  <si>
    <t>313.363.374-00</t>
  </si>
  <si>
    <t>6014.2023/0005180-0</t>
  </si>
  <si>
    <t>003/0015/A</t>
  </si>
  <si>
    <t>APARECIDO JOSÉ DE SOUSA</t>
  </si>
  <si>
    <t>42.961.517-6</t>
  </si>
  <si>
    <t>337.525.178-59</t>
  </si>
  <si>
    <t>003/0016/A</t>
  </si>
  <si>
    <t>RAYANE RIBEIRO FONTE</t>
  </si>
  <si>
    <t>39.897.144-4</t>
  </si>
  <si>
    <t>480.746.588-05</t>
  </si>
  <si>
    <t>6014.2023/0005254-7</t>
  </si>
  <si>
    <t>003/0017/A</t>
  </si>
  <si>
    <t>SONIA DOS SANTOS VICENTE</t>
  </si>
  <si>
    <t>33.473.712-6</t>
  </si>
  <si>
    <t>263.667.858-13</t>
  </si>
  <si>
    <t>'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</si>
  <si>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</si>
  <si>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</si>
  <si>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</si>
  <si>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</si>
  <si>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</si>
  <si>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</si>
  <si>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</si>
  <si>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</si>
  <si>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</si>
  <si>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</si>
  <si>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</si>
  <si>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</si>
  <si>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</si>
  <si>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</si>
  <si>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</si>
  <si>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</si>
  <si>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</si>
  <si>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</si>
  <si>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</si>
  <si>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</si>
  <si>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</si>
  <si>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</si>
  <si>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</si>
  <si>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</si>
  <si>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</si>
  <si>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</si>
  <si>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</si>
  <si>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</si>
  <si>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</si>
  <si>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</si>
  <si>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</si>
  <si>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</si>
  <si>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</si>
  <si>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</si>
  <si>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</si>
  <si>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</si>
  <si>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</si>
  <si>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</si>
  <si>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</si>
  <si>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</si>
  <si>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</si>
  <si>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</si>
  <si>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</si>
  <si>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</si>
  <si>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</si>
  <si>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</si>
  <si>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</si>
  <si>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</si>
  <si>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</si>
  <si>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</si>
  <si>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</si>
  <si>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</si>
  <si>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</si>
  <si>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</si>
  <si>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</si>
  <si>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</si>
  <si>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</si>
  <si>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</si>
  <si>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</si>
  <si>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</si>
  <si>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</si>
  <si>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</si>
  <si>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</si>
  <si>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</si>
  <si>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</si>
  <si>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</si>
  <si>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</si>
  <si>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</si>
  <si>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</si>
  <si>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</si>
  <si>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</si>
  <si>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</si>
  <si>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</si>
  <si>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</si>
  <si>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</si>
  <si>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</si>
  <si>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</si>
  <si>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</si>
  <si>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</si>
  <si>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</si>
  <si>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</si>
  <si>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</si>
  <si>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</si>
  <si>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</si>
  <si>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</si>
  <si>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</si>
  <si>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</si>
  <si>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</si>
  <si>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</si>
  <si>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</si>
  <si>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</si>
  <si>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</si>
  <si>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</si>
  <si>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</si>
  <si>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</si>
  <si>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</si>
  <si>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</si>
  <si>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</si>
  <si>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</si>
  <si>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</si>
  <si>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</si>
  <si>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</si>
  <si>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</si>
  <si>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</si>
  <si>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</si>
  <si>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</si>
  <si>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</si>
  <si>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</si>
  <si>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</si>
  <si>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</si>
  <si>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</si>
  <si>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</si>
  <si>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</si>
  <si>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</si>
  <si>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</si>
  <si>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</si>
  <si>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</si>
  <si>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</si>
  <si>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</si>
  <si>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</si>
  <si>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</si>
  <si>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</si>
  <si>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</si>
  <si>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</si>
  <si>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</si>
  <si>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</si>
  <si>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</si>
  <si>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</si>
  <si>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</si>
  <si>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</si>
  <si>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</si>
  <si>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</si>
  <si>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</si>
  <si>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</si>
  <si>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</si>
  <si>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</si>
  <si>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</si>
  <si>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</si>
  <si>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</si>
  <si>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</si>
  <si>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</si>
  <si>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</si>
  <si>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</si>
  <si>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</si>
  <si>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</si>
  <si>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</si>
  <si>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</si>
  <si>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</si>
  <si>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</si>
  <si>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</si>
  <si>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</si>
  <si>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</si>
  <si>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</si>
  <si>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</si>
  <si>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</si>
  <si>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</si>
  <si>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</si>
  <si>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</si>
  <si>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</si>
  <si>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</si>
  <si>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</si>
  <si>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</si>
  <si>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</si>
  <si>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</si>
  <si>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</si>
  <si>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</si>
  <si>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</si>
  <si>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</si>
  <si>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</si>
  <si>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</si>
  <si>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</si>
  <si>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</si>
  <si>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</si>
  <si>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</si>
  <si>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</si>
  <si>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</si>
  <si>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</si>
  <si>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</si>
  <si>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</si>
  <si>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</si>
  <si>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</si>
  <si>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</si>
  <si>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</si>
  <si>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</si>
  <si>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</si>
  <si>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</si>
  <si>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</si>
  <si>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</si>
  <si>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</si>
  <si>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</si>
  <si>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</si>
  <si>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</si>
  <si>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</si>
  <si>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</si>
  <si>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</si>
  <si>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</si>
  <si>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</si>
  <si>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</si>
  <si>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</si>
  <si>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</si>
  <si>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</si>
  <si>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</si>
  <si>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</si>
  <si>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</si>
  <si>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</si>
  <si>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</si>
  <si>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</si>
  <si>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</si>
  <si>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</si>
  <si>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</si>
  <si>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</si>
  <si>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</si>
  <si>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</si>
  <si>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</si>
  <si>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</si>
  <si>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</si>
  <si>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</si>
  <si>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</si>
  <si>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</si>
  <si>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</si>
  <si>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</si>
  <si>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</si>
  <si>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</si>
  <si>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</si>
  <si>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</si>
  <si>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</si>
  <si>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</si>
  <si>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</si>
  <si>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</si>
  <si>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</si>
  <si>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</si>
  <si>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</si>
  <si>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</si>
  <si>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</si>
  <si>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</si>
  <si>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</si>
  <si>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</si>
  <si>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</si>
  <si>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</si>
  <si>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</si>
  <si>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</si>
  <si>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</si>
  <si>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</si>
  <si>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</si>
  <si>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</si>
  <si>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</si>
  <si>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</si>
  <si>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</si>
  <si>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</si>
  <si>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</si>
  <si>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</si>
  <si>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</si>
  <si>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</si>
  <si>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</si>
  <si>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</si>
  <si>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</si>
  <si>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</si>
  <si>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</si>
  <si>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</si>
  <si>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</si>
  <si>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</si>
  <si>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</si>
  <si>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</si>
  <si>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</si>
  <si>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</si>
  <si>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</si>
  <si>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</si>
  <si>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</si>
  <si>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</si>
  <si>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</si>
  <si>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</si>
  <si>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</si>
  <si>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</si>
  <si>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</si>
  <si>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</si>
  <si>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</si>
  <si>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</si>
  <si>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</si>
  <si>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</si>
  <si>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</si>
  <si>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</si>
  <si>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</si>
  <si>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</si>
  <si>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</si>
  <si>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</si>
  <si>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</si>
  <si>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</si>
  <si>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</si>
  <si>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</si>
  <si>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</si>
  <si>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</si>
  <si>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</si>
  <si>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</si>
  <si>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</si>
  <si>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</si>
  <si>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</si>
  <si>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</si>
  <si>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</si>
  <si>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</si>
  <si>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</si>
  <si>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</si>
  <si>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</si>
  <si>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</si>
  <si>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</si>
  <si>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</si>
  <si>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</si>
  <si>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</si>
  <si>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</si>
  <si>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</si>
  <si>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</si>
  <si>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</si>
  <si>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</si>
  <si>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</si>
  <si>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</si>
  <si>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</si>
  <si>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</si>
  <si>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</si>
  <si>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</si>
  <si>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</si>
  <si>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</si>
  <si>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</si>
  <si>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</si>
  <si>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</si>
  <si>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</si>
  <si>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</si>
  <si>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</si>
  <si>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</si>
  <si>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</si>
  <si>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</si>
  <si>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</si>
  <si>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</si>
  <si>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</si>
  <si>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</si>
  <si>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</si>
  <si>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</si>
  <si>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</si>
  <si>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</si>
  <si>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</si>
  <si>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</si>
  <si>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</si>
  <si>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</si>
  <si>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</si>
  <si>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</si>
  <si>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</si>
  <si>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</si>
  <si>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</si>
  <si>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</si>
  <si>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</si>
  <si>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</si>
  <si>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</si>
  <si>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</si>
  <si>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</si>
  <si>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</si>
  <si>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</si>
  <si>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</si>
  <si>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</si>
  <si>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</si>
  <si>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</si>
  <si>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</si>
  <si>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</si>
  <si>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</si>
  <si>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</si>
  <si>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</si>
  <si>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</si>
  <si>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</si>
  <si>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</si>
  <si>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</si>
  <si>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</si>
  <si>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</si>
  <si>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</si>
  <si>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</si>
  <si>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</si>
  <si>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</si>
  <si>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</si>
  <si>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</si>
  <si>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</si>
  <si>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</si>
  <si>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</si>
  <si>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</si>
  <si>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</si>
  <si>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</si>
  <si>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</si>
  <si>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</si>
  <si>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</si>
  <si>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</si>
  <si>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</si>
  <si>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</si>
  <si>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</si>
  <si>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</si>
  <si>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</si>
  <si>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</si>
  <si>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</si>
  <si>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</si>
  <si>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</si>
  <si>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</si>
  <si>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</si>
  <si>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</si>
  <si>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</si>
  <si>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</si>
  <si>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</si>
  <si>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</si>
  <si>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</si>
  <si>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</si>
  <si>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</si>
  <si>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</si>
  <si>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</si>
  <si>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</si>
  <si>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</si>
  <si>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</si>
  <si>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</si>
  <si>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</si>
  <si>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</si>
  <si>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</si>
  <si>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</si>
  <si>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</si>
  <si>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</si>
  <si>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</si>
  <si>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</si>
  <si>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</si>
  <si>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</si>
  <si>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</si>
  <si>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</si>
  <si>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</si>
  <si>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</si>
  <si>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</si>
  <si>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</si>
  <si>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</si>
  <si>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</si>
  <si>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</si>
  <si>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</si>
  <si>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</si>
  <si>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</si>
  <si>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</si>
  <si>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</si>
  <si>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</si>
  <si>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</si>
  <si>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</si>
  <si>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</si>
  <si>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</si>
  <si>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</si>
  <si>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</si>
  <si>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</si>
  <si>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</si>
  <si>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</si>
  <si>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</si>
  <si>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</si>
  <si>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</si>
  <si>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</si>
  <si>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</si>
  <si>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</si>
  <si>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</si>
  <si>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</si>
  <si>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</si>
  <si>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</si>
  <si>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</si>
  <si>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</si>
  <si>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</si>
  <si>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</si>
  <si>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</si>
  <si>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</si>
  <si>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</si>
  <si>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</si>
  <si>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</si>
  <si>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</si>
  <si>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</si>
  <si>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</si>
  <si>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</si>
  <si>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</si>
  <si>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</si>
  <si>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</si>
  <si>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</si>
  <si>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</si>
  <si>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</si>
  <si>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</si>
  <si>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</si>
  <si>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</si>
  <si>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</si>
  <si>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</si>
  <si>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</si>
  <si>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</si>
  <si>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</si>
  <si>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</si>
  <si>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</si>
  <si>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</si>
  <si>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</si>
  <si>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</si>
  <si>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</si>
  <si>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</si>
  <si>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</si>
  <si>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</si>
  <si>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</si>
  <si>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</si>
  <si>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</si>
  <si>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</si>
  <si>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</si>
  <si>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</si>
  <si>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</si>
  <si>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</si>
  <si>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</si>
  <si>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</si>
  <si>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</si>
  <si>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</si>
  <si>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</si>
  <si>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</si>
  <si>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</si>
  <si>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</si>
  <si>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</si>
  <si>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</si>
  <si>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</si>
  <si>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</si>
  <si>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</si>
  <si>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</si>
  <si>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</si>
  <si>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</si>
  <si>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</si>
  <si>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</si>
  <si>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</si>
  <si>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</si>
  <si>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</si>
  <si>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</si>
  <si>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</si>
  <si>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</si>
  <si>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</si>
  <si>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</si>
  <si>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</si>
  <si>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</si>
  <si>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</si>
  <si>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</si>
  <si>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</si>
  <si>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</si>
  <si>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</si>
  <si>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</si>
  <si>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</si>
  <si>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</si>
  <si>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</si>
  <si>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</si>
  <si>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</si>
  <si>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</si>
  <si>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</si>
  <si>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</si>
  <si>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</si>
  <si>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</si>
  <si>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</si>
  <si>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</si>
  <si>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</si>
  <si>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</si>
  <si>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</si>
  <si>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</si>
  <si>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</si>
  <si>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</si>
  <si>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</si>
  <si>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</si>
  <si>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</si>
  <si>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</si>
  <si>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</si>
  <si>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</si>
  <si>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</si>
  <si>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</si>
  <si>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</si>
  <si>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</si>
  <si>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</si>
  <si>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</si>
  <si>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</si>
  <si>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</si>
  <si>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</si>
  <si>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</si>
  <si>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</si>
  <si>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</si>
  <si>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</si>
  <si>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</si>
  <si>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</si>
  <si>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</si>
  <si>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</si>
  <si>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</si>
  <si>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</si>
  <si>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</si>
  <si>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</si>
  <si>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</si>
  <si>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</si>
  <si>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</si>
  <si>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</si>
  <si>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</si>
  <si>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</si>
  <si>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</si>
  <si>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</si>
  <si>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</si>
  <si>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</si>
  <si>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</si>
  <si>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</si>
  <si>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</si>
  <si>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</si>
  <si>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</si>
  <si>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</si>
  <si>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</si>
  <si>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</si>
  <si>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</si>
  <si>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</si>
  <si>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</si>
  <si>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</si>
  <si>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</si>
  <si>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</si>
  <si>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</si>
  <si>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</si>
  <si>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</si>
  <si>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</si>
  <si>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</si>
  <si>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</si>
  <si>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</si>
  <si>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</si>
  <si>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</si>
  <si>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</si>
  <si>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</si>
  <si>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</si>
  <si>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</si>
  <si>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</si>
  <si>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</si>
  <si>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</si>
  <si>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</si>
  <si>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</si>
  <si>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</si>
  <si>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</si>
  <si>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</si>
  <si>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</si>
  <si>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</si>
  <si>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</si>
  <si>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</si>
  <si>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</si>
  <si>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</si>
  <si>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</si>
  <si>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</si>
  <si>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</si>
  <si>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</si>
  <si>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</si>
  <si>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</si>
  <si>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</si>
  <si>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</si>
  <si>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</si>
  <si>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</si>
  <si>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</si>
  <si>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</si>
  <si>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</si>
  <si>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</si>
  <si>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</si>
  <si>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</si>
  <si>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</si>
  <si>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</si>
  <si>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</si>
  <si>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</si>
  <si>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</si>
  <si>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</si>
  <si>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</si>
  <si>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</si>
  <si>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</si>
  <si>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</si>
  <si>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</si>
  <si>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</si>
  <si>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</si>
  <si>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</si>
  <si>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</si>
  <si>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</si>
  <si>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</si>
  <si>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</si>
  <si>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</si>
  <si>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</si>
  <si>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</si>
  <si>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</si>
  <si>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</si>
  <si>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</si>
  <si>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</si>
  <si>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</si>
  <si>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</si>
  <si>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</si>
  <si>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</si>
  <si>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</si>
  <si>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</si>
  <si>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</si>
  <si>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</si>
  <si>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</si>
  <si>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</si>
  <si>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</si>
  <si>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</si>
  <si>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</si>
  <si>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</si>
  <si>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</si>
  <si>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</si>
  <si>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</si>
  <si>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</si>
  <si>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</si>
  <si>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</si>
  <si>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</si>
  <si>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</si>
  <si>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</si>
  <si>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</si>
  <si>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</si>
  <si>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</si>
  <si>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</si>
  <si>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</si>
  <si>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</si>
  <si>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</si>
  <si>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</si>
  <si>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</si>
  <si>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</si>
  <si>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</si>
  <si>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</si>
  <si>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</si>
  <si>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</si>
  <si>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</si>
  <si>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</si>
  <si>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</si>
  <si>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</si>
  <si>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</si>
  <si>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</si>
  <si>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</si>
  <si>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</si>
  <si>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</si>
  <si>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</si>
  <si>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</si>
  <si>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</si>
  <si>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</si>
  <si>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</si>
  <si>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</si>
  <si>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</si>
  <si>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</si>
  <si>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</si>
  <si>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</si>
  <si>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</si>
  <si>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</si>
  <si>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</si>
  <si>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</si>
  <si>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</si>
  <si>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</si>
  <si>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</si>
  <si>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</si>
  <si>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</si>
  <si>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</si>
  <si>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</si>
  <si>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</si>
  <si>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</si>
  <si>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</si>
  <si>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</si>
  <si>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</si>
  <si>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</si>
  <si>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</si>
  <si>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</si>
  <si>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</si>
  <si>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</si>
  <si>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</si>
  <si>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</si>
  <si>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</si>
  <si>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</si>
  <si>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</si>
  <si>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</si>
  <si>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</si>
  <si>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</si>
  <si>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</si>
  <si>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</si>
  <si>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</si>
  <si>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</si>
  <si>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</si>
  <si>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</si>
  <si>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</si>
  <si>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</si>
  <si>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</si>
  <si>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</si>
  <si>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</si>
  <si>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</si>
  <si>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</si>
  <si>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</si>
  <si>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</si>
  <si>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</si>
  <si>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</si>
  <si>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</si>
  <si>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</si>
  <si>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</si>
  <si>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</si>
  <si>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</si>
  <si>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</si>
  <si>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</si>
  <si>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</si>
  <si>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</si>
  <si>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</si>
  <si>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</si>
  <si>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</si>
  <si>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</si>
  <si>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</si>
  <si>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</si>
  <si>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</si>
  <si>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</si>
  <si>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</si>
  <si>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</si>
  <si>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</si>
  <si>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</si>
  <si>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</si>
  <si>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</si>
  <si>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</si>
  <si>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</si>
  <si>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</si>
  <si>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</si>
  <si>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</si>
  <si>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</si>
  <si>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</si>
  <si>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</si>
  <si>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</si>
  <si>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</si>
  <si>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</si>
  <si>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</si>
  <si>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</si>
  <si>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</si>
  <si>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</si>
  <si>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</si>
  <si>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</si>
  <si>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</si>
  <si>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</si>
  <si>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</si>
  <si>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</si>
  <si>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</si>
  <si>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</si>
  <si>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</si>
  <si>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</si>
  <si>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</si>
  <si>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</si>
  <si>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</si>
  <si>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</si>
  <si>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</si>
  <si>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</si>
  <si>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</si>
  <si>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</si>
  <si>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</si>
  <si>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</si>
  <si>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</si>
  <si>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</si>
  <si>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</si>
  <si>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</si>
  <si>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</si>
  <si>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</si>
  <si>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</si>
  <si>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</si>
  <si>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</si>
  <si>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</si>
  <si>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</si>
  <si>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</si>
  <si>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</si>
  <si>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</si>
  <si>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</si>
  <si>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</si>
  <si>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</si>
  <si>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</si>
  <si>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</si>
  <si>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</si>
  <si>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</si>
  <si>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</si>
  <si>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</si>
  <si>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</si>
  <si>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</si>
  <si>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</si>
  <si>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</si>
  <si>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</si>
  <si>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</si>
  <si>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</si>
  <si>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</si>
  <si>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</si>
  <si>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</si>
  <si>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</si>
  <si>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</si>
  <si>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</si>
  <si>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</si>
  <si>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</si>
  <si>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</si>
  <si>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</si>
  <si>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</si>
  <si>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</si>
  <si>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</si>
  <si>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</si>
  <si>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</si>
  <si>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</si>
  <si>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</si>
  <si>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</si>
  <si>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</si>
  <si>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</si>
  <si>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</si>
  <si>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</si>
  <si>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</si>
  <si>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</si>
  <si>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</si>
  <si>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</si>
  <si>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</si>
  <si>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</si>
  <si>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</si>
  <si>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</si>
  <si>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</si>
  <si>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</si>
  <si>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</si>
  <si>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</si>
  <si>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</si>
  <si>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</si>
  <si>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</si>
  <si>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</si>
  <si>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</si>
  <si>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</si>
  <si>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</si>
  <si>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</si>
  <si>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</si>
  <si>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</si>
  <si>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</si>
  <si>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</si>
  <si>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</si>
  <si>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</si>
  <si>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</si>
  <si>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</si>
  <si>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</si>
  <si>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</si>
  <si>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</si>
  <si>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</si>
  <si>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</si>
  <si>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</si>
  <si>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</si>
  <si>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</si>
  <si>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</si>
  <si>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</si>
  <si>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</si>
  <si>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</si>
  <si>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</si>
  <si>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</si>
  <si>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</si>
  <si>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</si>
  <si>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</si>
  <si>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</si>
  <si>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</si>
  <si>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</si>
  <si>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</si>
  <si>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</si>
  <si>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</si>
  <si>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</si>
  <si>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</si>
  <si>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</si>
  <si>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</si>
  <si>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</si>
  <si>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</si>
  <si>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</si>
  <si>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</si>
  <si>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</si>
  <si>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</si>
  <si>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</si>
  <si>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</si>
  <si>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</si>
  <si>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</si>
  <si>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</si>
  <si>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</si>
  <si>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</si>
  <si>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</si>
  <si>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</si>
  <si>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</si>
  <si>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</si>
  <si>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</si>
  <si>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</si>
  <si>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</si>
  <si>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</si>
  <si>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</si>
  <si>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</si>
  <si>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</si>
  <si>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</si>
  <si>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</si>
  <si>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</si>
  <si>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</si>
  <si>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</si>
  <si>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</si>
  <si>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</si>
  <si>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</si>
  <si>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</si>
  <si>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</si>
  <si>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</si>
  <si>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</si>
  <si>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</si>
  <si>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</si>
  <si>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</si>
  <si>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</si>
  <si>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</si>
  <si>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</si>
  <si>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</si>
  <si>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</si>
  <si>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</si>
  <si>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</si>
  <si>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</si>
  <si>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</si>
  <si>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</si>
  <si>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</si>
  <si>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</si>
  <si>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</si>
  <si>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</si>
  <si>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</si>
  <si>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</si>
  <si>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</si>
  <si>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</si>
  <si>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</si>
  <si>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</si>
  <si>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</si>
  <si>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</si>
  <si>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</si>
  <si>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</si>
  <si>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</si>
  <si>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</si>
  <si>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</si>
  <si>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</si>
  <si>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</si>
  <si>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</si>
  <si>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</si>
  <si>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</si>
  <si>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</si>
  <si>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</si>
  <si>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</si>
  <si>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</si>
  <si>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</si>
  <si>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</si>
  <si>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</si>
  <si>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</si>
  <si>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</si>
  <si>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</si>
  <si>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</si>
  <si>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</si>
  <si>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</si>
  <si>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</si>
  <si>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</si>
  <si>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</si>
  <si>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</si>
  <si>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</si>
  <si>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</si>
  <si>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</si>
  <si>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</si>
  <si>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</si>
  <si>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</si>
  <si>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</si>
  <si>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</si>
  <si>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</si>
  <si>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</si>
  <si>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</si>
  <si>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</si>
  <si>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</si>
  <si>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</si>
  <si>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</si>
  <si>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</si>
  <si>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</si>
  <si>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</si>
  <si>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</si>
  <si>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</si>
  <si>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</si>
  <si>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</si>
  <si>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</si>
  <si>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</si>
  <si>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</si>
  <si>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</si>
  <si>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</si>
  <si>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</si>
  <si>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</si>
  <si>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</si>
  <si>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</si>
  <si>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</si>
  <si>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</si>
  <si>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</si>
  <si>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</si>
  <si>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</si>
  <si>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</si>
  <si>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</si>
  <si>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</si>
  <si>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</si>
  <si>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</si>
  <si>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</si>
  <si>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</si>
  <si>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</si>
  <si>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</si>
  <si>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</si>
  <si>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</si>
  <si>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</si>
  <si>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</si>
  <si>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</si>
  <si>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</si>
  <si>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</si>
  <si>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</si>
  <si>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</si>
  <si>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</si>
  <si>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</si>
  <si>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</si>
  <si>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</si>
  <si>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</si>
  <si>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</si>
  <si>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</si>
  <si>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</si>
  <si>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</si>
  <si>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</si>
  <si>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</si>
  <si>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</si>
  <si>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</si>
  <si>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</si>
  <si>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</si>
  <si>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</si>
  <si>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</si>
  <si>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</si>
  <si>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</si>
  <si>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</si>
  <si>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</si>
  <si>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</si>
  <si>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</si>
  <si>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</si>
  <si>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</si>
  <si>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</si>
  <si>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</si>
  <si>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</si>
  <si>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</si>
  <si>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</si>
  <si>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</si>
  <si>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</si>
  <si>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</si>
  <si>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</si>
  <si>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</si>
  <si>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</si>
  <si>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</si>
  <si>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</si>
  <si>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</si>
  <si>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</si>
  <si>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</si>
  <si>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</si>
  <si>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</si>
  <si>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</si>
  <si>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</si>
  <si>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</si>
  <si>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</si>
  <si>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</si>
  <si>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</si>
  <si>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</si>
  <si>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</si>
  <si>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</si>
  <si>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</si>
  <si>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</si>
  <si>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</si>
  <si>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</si>
  <si>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</si>
  <si>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</si>
  <si>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</si>
  <si>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</si>
  <si>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</si>
  <si>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</si>
  <si>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</si>
  <si>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</si>
  <si>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</si>
  <si>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</si>
  <si>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</si>
  <si>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</si>
  <si>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</si>
  <si>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</si>
  <si>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</si>
  <si>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</si>
  <si>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</si>
  <si>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</si>
  <si>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</si>
  <si>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</si>
  <si>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</si>
  <si>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</si>
  <si>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</si>
  <si>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</si>
  <si>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</si>
  <si>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</si>
  <si>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</si>
  <si>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</si>
  <si>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</si>
  <si>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</si>
  <si>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</si>
  <si>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</si>
  <si>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</si>
  <si>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</si>
  <si>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</si>
  <si>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</si>
  <si>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</si>
  <si>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</si>
  <si>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</si>
  <si>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</si>
  <si>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</si>
  <si>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</si>
  <si>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</si>
  <si>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</si>
  <si>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</si>
  <si>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</si>
  <si>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</si>
  <si>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</si>
  <si>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</si>
  <si>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</si>
  <si>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</si>
  <si>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</si>
  <si>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</si>
  <si>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</si>
  <si>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</si>
  <si>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</si>
  <si>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</si>
  <si>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</si>
  <si>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</si>
  <si>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</si>
  <si>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</si>
  <si>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</si>
  <si>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</si>
  <si>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</si>
  <si>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</si>
  <si>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</si>
  <si>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</si>
  <si>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</si>
  <si>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</si>
  <si>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</si>
  <si>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</si>
  <si>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</si>
  <si>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</si>
  <si>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</si>
  <si>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</si>
  <si>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</si>
  <si>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</si>
  <si>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</si>
  <si>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</si>
  <si>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</si>
  <si>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</si>
  <si>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</si>
  <si>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</si>
  <si>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</si>
  <si>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</si>
  <si>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</si>
  <si>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</si>
  <si>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</si>
  <si>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</si>
  <si>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</si>
  <si>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</si>
  <si>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</si>
  <si>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</si>
  <si>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</si>
  <si>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</si>
  <si>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</si>
  <si>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</si>
  <si>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</si>
  <si>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</si>
  <si>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</si>
  <si>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</si>
  <si>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</si>
  <si>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</si>
  <si>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</si>
  <si>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</si>
  <si>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</si>
  <si>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</si>
  <si>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</si>
  <si>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</si>
  <si>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</si>
  <si>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</si>
  <si>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</si>
  <si>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</si>
  <si>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</si>
  <si>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</si>
  <si>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</si>
  <si>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</si>
  <si>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</si>
  <si>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</si>
  <si>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</si>
  <si>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</si>
  <si>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</si>
  <si>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</si>
  <si>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</si>
  <si>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</si>
  <si>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</si>
  <si>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</si>
  <si>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</si>
  <si>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</si>
  <si>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</si>
  <si>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</si>
  <si>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</si>
  <si>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</si>
  <si>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</si>
  <si>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</si>
  <si>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</si>
  <si>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</si>
  <si>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</si>
  <si>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</si>
  <si>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</si>
  <si>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</si>
  <si>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</si>
  <si>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</si>
  <si>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</si>
  <si>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</si>
  <si>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</si>
  <si>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</si>
  <si>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</si>
  <si>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</si>
  <si>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</si>
  <si>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</si>
  <si>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</si>
  <si>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</si>
  <si>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</si>
  <si>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</si>
  <si>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</si>
  <si>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</si>
  <si>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</si>
  <si>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</si>
  <si>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</si>
  <si>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</si>
  <si>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</si>
  <si>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</si>
  <si>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</si>
  <si>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</si>
  <si>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</si>
  <si>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</si>
  <si>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</si>
  <si>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</si>
  <si>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</si>
  <si>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</si>
  <si>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</si>
  <si>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</si>
  <si>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</si>
  <si>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</si>
  <si>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</si>
  <si>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</si>
  <si>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</si>
  <si>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</si>
  <si>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</si>
  <si>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</si>
  <si>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</si>
  <si>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</si>
  <si>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</si>
  <si>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</si>
  <si>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</si>
  <si>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</si>
  <si>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</si>
  <si>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</si>
  <si>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</si>
  <si>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</si>
  <si>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</si>
  <si>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</si>
  <si>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</si>
  <si>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</si>
  <si>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</si>
  <si>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</si>
  <si>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</si>
  <si>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</si>
  <si>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</si>
  <si>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</si>
  <si>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</si>
  <si>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</si>
  <si>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</si>
  <si>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</si>
  <si>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</si>
  <si>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</si>
  <si>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</si>
  <si>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</si>
  <si>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</si>
  <si>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</si>
  <si>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</si>
  <si>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</si>
  <si>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</si>
  <si>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</si>
  <si>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</si>
  <si>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</si>
  <si>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</si>
  <si>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</si>
  <si>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</si>
  <si>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</si>
  <si>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</si>
  <si>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</si>
  <si>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</si>
  <si>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</si>
  <si>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</si>
  <si>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</si>
  <si>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</si>
  <si>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</si>
  <si>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</si>
  <si>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</si>
  <si>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</si>
  <si>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</si>
  <si>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</si>
  <si>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</si>
  <si>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</si>
  <si>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</si>
  <si>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</si>
  <si>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</si>
  <si>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</si>
  <si>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</si>
  <si>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</si>
  <si>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</si>
  <si>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</si>
  <si>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</si>
  <si>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</si>
  <si>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</si>
  <si>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</si>
  <si>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</si>
  <si>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</si>
  <si>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</si>
  <si>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</si>
  <si>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</si>
  <si>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</si>
  <si>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</si>
  <si>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</si>
  <si>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</si>
  <si>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</si>
  <si>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</si>
  <si>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</si>
  <si>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</si>
  <si>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</si>
  <si>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</si>
  <si>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</si>
  <si>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</si>
  <si>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</si>
  <si>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</si>
  <si>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</si>
  <si>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</si>
  <si>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</si>
  <si>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</si>
  <si>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</si>
  <si>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</si>
  <si>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</si>
  <si>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</si>
  <si>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</si>
  <si>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</si>
  <si>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</si>
  <si>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</si>
  <si>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</si>
  <si>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</si>
  <si>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</si>
  <si>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</si>
  <si>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</si>
  <si>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</si>
  <si>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</si>
  <si>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</si>
  <si>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</si>
  <si>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</si>
  <si>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</si>
  <si>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</si>
  <si>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</si>
  <si>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</si>
  <si>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</si>
  <si>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</si>
  <si>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</si>
  <si>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</si>
  <si>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</si>
  <si>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</si>
  <si>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</si>
  <si>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</si>
  <si>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</si>
  <si>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</si>
  <si>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</si>
  <si>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</si>
  <si>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</si>
  <si>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</si>
  <si>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</si>
  <si>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</si>
  <si>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</si>
  <si>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</si>
  <si>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</si>
  <si>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</si>
  <si>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</si>
  <si>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</si>
  <si>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</si>
  <si>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</si>
  <si>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</si>
  <si>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</si>
  <si>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</si>
  <si>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</si>
  <si>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</si>
  <si>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</si>
  <si>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</si>
  <si>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</si>
  <si>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</si>
  <si>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</si>
  <si>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</si>
  <si>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</si>
  <si>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</si>
  <si>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</si>
  <si>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</si>
  <si>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</si>
  <si>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</si>
  <si>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</si>
  <si>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</si>
  <si>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</si>
  <si>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</si>
  <si>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</si>
  <si>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</si>
  <si>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</si>
  <si>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</si>
  <si>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</si>
  <si>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</si>
  <si>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</si>
  <si>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</si>
  <si>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</si>
  <si>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</si>
  <si>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</si>
  <si>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</si>
  <si>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</si>
  <si>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</si>
  <si>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</si>
  <si>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</si>
  <si>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</si>
  <si>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</si>
  <si>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</si>
  <si>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</si>
  <si>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</si>
  <si>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</si>
  <si>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</si>
  <si>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</si>
  <si>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</si>
  <si>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</si>
  <si>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</si>
  <si>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</si>
  <si>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</si>
  <si>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</si>
  <si>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</si>
  <si>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</si>
  <si>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</si>
  <si>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</si>
  <si>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</si>
  <si>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</si>
  <si>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</si>
  <si>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</si>
  <si>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</si>
  <si>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</si>
  <si>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</si>
  <si>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</si>
  <si>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</si>
  <si>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</si>
  <si>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</si>
  <si>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</si>
  <si>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</si>
  <si>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</si>
  <si>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</si>
  <si>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</si>
  <si>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</si>
  <si>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</si>
  <si>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</si>
  <si>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</si>
  <si>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</si>
  <si>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</si>
  <si>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</si>
  <si>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</si>
  <si>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</si>
  <si>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</si>
  <si>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</si>
  <si>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</si>
  <si>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</si>
  <si>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</si>
  <si>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</si>
  <si>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</si>
  <si>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</si>
  <si>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</si>
  <si>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</si>
  <si>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</si>
  <si>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</si>
  <si>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</si>
  <si>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</si>
  <si>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</si>
  <si>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</si>
  <si>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</si>
  <si>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</si>
  <si>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</si>
  <si>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</si>
  <si>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</si>
  <si>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</si>
  <si>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</si>
  <si>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</si>
  <si>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</si>
  <si>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</si>
  <si>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</si>
  <si>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</si>
  <si>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</si>
  <si>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</si>
  <si>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</si>
  <si>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</si>
  <si>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</si>
  <si>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</si>
  <si>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</si>
  <si>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</si>
  <si>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</si>
  <si>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</si>
  <si>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</si>
  <si>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</si>
  <si>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</si>
  <si>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</si>
  <si>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</si>
  <si>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</si>
  <si>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</si>
  <si>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</si>
  <si>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</si>
  <si>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</si>
  <si>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</si>
  <si>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</si>
  <si>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</si>
  <si>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</si>
  <si>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</si>
  <si>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</si>
  <si>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</si>
  <si>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</si>
  <si>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</si>
  <si>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</si>
  <si>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</si>
  <si>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</si>
  <si>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</si>
  <si>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</si>
  <si>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</si>
  <si>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</si>
  <si>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</si>
  <si>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</si>
  <si>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</si>
  <si>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</si>
  <si>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</si>
  <si>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</si>
  <si>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</si>
  <si>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</si>
  <si>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</si>
  <si>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</si>
  <si>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</si>
  <si>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</si>
  <si>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</si>
  <si>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</si>
  <si>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</si>
  <si>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</si>
  <si>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</si>
  <si>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</si>
  <si>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</si>
  <si>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</si>
  <si>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</si>
  <si>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</si>
  <si>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</si>
  <si>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</si>
  <si>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</si>
  <si>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</si>
  <si>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</si>
  <si>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</si>
  <si>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</si>
  <si>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</si>
  <si>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</si>
  <si>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</si>
  <si>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</si>
  <si>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</si>
  <si>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</si>
  <si>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</si>
  <si>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</si>
  <si>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</si>
  <si>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</si>
  <si>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</si>
  <si>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</si>
  <si>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</si>
  <si>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</si>
  <si>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</si>
  <si>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</si>
  <si>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</si>
  <si>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</si>
  <si>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</si>
  <si>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</si>
  <si>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</si>
  <si>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</si>
  <si>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</si>
  <si>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</si>
  <si>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</si>
  <si>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</si>
  <si>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</si>
  <si>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</si>
  <si>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</si>
  <si>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</si>
  <si>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</si>
  <si>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</si>
  <si>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</si>
  <si>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</si>
  <si>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</si>
  <si>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</si>
  <si>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</si>
  <si>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</si>
  <si>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</si>
  <si>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</si>
  <si>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</si>
  <si>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</si>
  <si>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</si>
  <si>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</si>
  <si>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</si>
  <si>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</si>
  <si>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</si>
  <si>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</si>
  <si>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</si>
  <si>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</si>
  <si>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</si>
  <si>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</si>
  <si>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</si>
  <si>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</si>
  <si>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</si>
  <si>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</si>
  <si>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</si>
  <si>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</si>
  <si>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</si>
  <si>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</si>
  <si>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</si>
  <si>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</si>
  <si>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</si>
  <si>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</si>
  <si>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</si>
  <si>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</si>
  <si>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</si>
  <si>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</si>
  <si>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</si>
  <si>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</si>
  <si>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</si>
  <si>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</si>
  <si>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</si>
  <si>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</si>
  <si>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</si>
  <si>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</si>
  <si>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</si>
  <si>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</si>
  <si>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</si>
  <si>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</si>
  <si>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</si>
  <si>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</si>
  <si>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</si>
  <si>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</si>
  <si>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</si>
  <si>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</si>
  <si>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</si>
  <si>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</si>
  <si>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</si>
  <si>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</si>
  <si>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</si>
  <si>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</si>
  <si>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</si>
  <si>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</si>
  <si>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</si>
  <si>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</si>
  <si>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</si>
  <si>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</si>
  <si>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</si>
  <si>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</si>
  <si>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</si>
  <si>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</si>
  <si>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</si>
  <si>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</si>
  <si>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</si>
  <si>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</si>
  <si>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</si>
  <si>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</si>
  <si>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</si>
  <si>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</si>
  <si>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</si>
  <si>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</si>
  <si>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</si>
  <si>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</si>
  <si>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</si>
  <si>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</si>
  <si>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</si>
  <si>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</si>
  <si>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</si>
  <si>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</si>
  <si>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</si>
  <si>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</si>
  <si>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</si>
  <si>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</si>
  <si>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</si>
  <si>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</si>
  <si>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</si>
  <si>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</si>
  <si>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</si>
  <si>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</si>
  <si>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</si>
  <si>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</si>
  <si>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</si>
  <si>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</si>
  <si>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</si>
  <si>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</si>
  <si>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</si>
  <si>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</si>
  <si>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</si>
  <si>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</si>
  <si>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</si>
  <si>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</si>
  <si>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</si>
  <si>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</si>
  <si>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</si>
  <si>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</si>
  <si>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</si>
  <si>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</si>
  <si>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</si>
  <si>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</si>
  <si>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</si>
  <si>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</si>
  <si>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</si>
  <si>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</si>
  <si>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</si>
  <si>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</si>
  <si>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</si>
  <si>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</si>
  <si>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</si>
  <si>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</si>
  <si>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</si>
  <si>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</si>
  <si>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</si>
  <si>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</si>
  <si>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</si>
  <si>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</si>
  <si>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</si>
  <si>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</si>
  <si>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</si>
  <si>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</si>
  <si>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</si>
  <si>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</si>
  <si>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</si>
  <si>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</si>
  <si>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</si>
  <si>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</si>
  <si>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</si>
  <si>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</si>
  <si>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</si>
  <si>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</si>
  <si>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</si>
  <si>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</si>
  <si>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</si>
  <si>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</si>
  <si>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</si>
  <si>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</si>
  <si>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</si>
  <si>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</si>
  <si>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</si>
  <si>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</si>
  <si>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</si>
  <si>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</si>
  <si>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</si>
  <si>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</si>
  <si>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</si>
  <si>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</si>
  <si>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</si>
  <si>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</si>
  <si>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</si>
  <si>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</si>
  <si>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</si>
  <si>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</si>
  <si>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</si>
  <si>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</si>
  <si>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</si>
  <si>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</si>
  <si>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</si>
  <si>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</si>
  <si>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</si>
  <si>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</si>
  <si>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</si>
  <si>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</si>
  <si>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</si>
  <si>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</si>
  <si>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</si>
  <si>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</si>
  <si>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</si>
  <si>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</si>
  <si>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</si>
  <si>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</si>
  <si>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</si>
  <si>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</si>
  <si>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</si>
  <si>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</si>
  <si>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</si>
  <si>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</si>
  <si>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</si>
  <si>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</si>
  <si>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</si>
  <si>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</si>
  <si>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</si>
  <si>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</si>
  <si>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</si>
  <si>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</si>
  <si>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</si>
  <si>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</si>
  <si>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</si>
  <si>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</si>
  <si>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</si>
  <si>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</si>
  <si>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</si>
  <si>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</si>
  <si>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</si>
  <si>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</si>
  <si>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</si>
  <si>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</si>
  <si>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</si>
  <si>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</si>
  <si>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</si>
  <si>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</si>
  <si>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</si>
  <si>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</si>
  <si>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</si>
  <si>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</si>
  <si>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</si>
  <si>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</si>
  <si>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</si>
  <si>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</si>
  <si>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</si>
  <si>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</si>
  <si>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</si>
  <si>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</si>
  <si>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</si>
  <si>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</si>
  <si>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</si>
  <si>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</si>
  <si>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</si>
  <si>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</si>
  <si>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</si>
  <si>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</si>
  <si>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</si>
  <si>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</si>
  <si>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</si>
  <si>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</si>
  <si>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</si>
  <si>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</si>
  <si>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</si>
  <si>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</si>
  <si>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</si>
  <si>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</si>
  <si>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</si>
  <si>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</si>
  <si>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</si>
  <si>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</si>
  <si>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</si>
  <si>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</si>
  <si>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</si>
  <si>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</si>
  <si>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</si>
  <si>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</si>
  <si>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</si>
  <si>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</si>
  <si>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</si>
  <si>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</si>
  <si>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</si>
  <si>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</si>
  <si>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</si>
  <si>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</si>
  <si>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</si>
  <si>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</si>
  <si>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</si>
  <si>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</si>
  <si>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</si>
  <si>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</si>
  <si>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</si>
  <si>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</si>
  <si>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</si>
  <si>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</si>
  <si>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</si>
  <si>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</si>
  <si>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</si>
  <si>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</si>
  <si>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</si>
  <si>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</si>
  <si>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</si>
  <si>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</si>
  <si>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</si>
  <si>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</si>
  <si>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</si>
  <si>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</si>
  <si>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</si>
  <si>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</si>
  <si>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</si>
  <si>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</si>
  <si>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</si>
  <si>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</si>
  <si>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</si>
  <si>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</si>
  <si>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</si>
  <si>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</si>
  <si>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</si>
  <si>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</si>
  <si>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</si>
  <si>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</si>
  <si>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</si>
  <si>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</si>
  <si>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</si>
  <si>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</si>
  <si>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</si>
  <si>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</si>
  <si>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</si>
  <si>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</si>
  <si>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</si>
  <si>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</si>
  <si>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</si>
  <si>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</si>
  <si>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</si>
  <si>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</si>
  <si>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</si>
  <si>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</si>
  <si>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</si>
  <si>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</si>
  <si>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</si>
  <si>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</si>
  <si>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</si>
  <si>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</si>
  <si>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</si>
  <si>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</si>
  <si>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</si>
  <si>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</si>
  <si>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</si>
  <si>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</si>
  <si>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</si>
  <si>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</si>
  <si>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</si>
  <si>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</si>
  <si>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</si>
  <si>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</si>
  <si>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</si>
  <si>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</si>
  <si>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</si>
  <si>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</si>
  <si>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</si>
  <si>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</si>
  <si>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</si>
  <si>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</si>
  <si>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</si>
  <si>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</si>
  <si>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</si>
  <si>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</si>
  <si>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</si>
  <si>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</si>
  <si>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</si>
  <si>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</si>
  <si>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</si>
  <si>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</si>
  <si>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</si>
  <si>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</si>
  <si>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</si>
  <si>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</si>
  <si>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</si>
  <si>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</si>
  <si>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</si>
  <si>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</si>
  <si>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</si>
  <si>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</si>
  <si>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</si>
  <si>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</si>
  <si>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</si>
  <si>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</si>
  <si>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</si>
  <si>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</si>
  <si>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</si>
  <si>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</si>
  <si>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</si>
  <si>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</si>
  <si>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</si>
  <si>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</si>
  <si>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</si>
  <si>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</si>
  <si>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</si>
  <si>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</si>
  <si>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</si>
  <si>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</si>
  <si>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</si>
  <si>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</si>
  <si>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</si>
  <si>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</si>
  <si>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</si>
  <si>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</si>
  <si>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</si>
  <si>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</si>
  <si>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</si>
  <si>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</si>
  <si>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</si>
  <si>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</si>
  <si>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</si>
  <si>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</si>
  <si>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</si>
  <si>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</si>
  <si>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</si>
  <si>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</si>
  <si>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</si>
  <si>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</si>
  <si>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</si>
  <si>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</si>
  <si>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</si>
  <si>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</si>
  <si>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</si>
  <si>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</si>
  <si>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</si>
  <si>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</si>
  <si>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</si>
  <si>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</si>
  <si>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</si>
  <si>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</si>
  <si>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</si>
  <si>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</si>
  <si>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</si>
  <si>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</si>
  <si>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</si>
  <si>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</si>
  <si>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</si>
  <si>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</si>
  <si>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</si>
  <si>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</si>
  <si>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</si>
  <si>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</si>
  <si>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</si>
  <si>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</si>
  <si>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</si>
  <si>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</si>
  <si>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</si>
  <si>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</si>
  <si>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</si>
  <si>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</si>
  <si>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</si>
  <si>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</si>
  <si>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</si>
  <si>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</si>
  <si>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</si>
  <si>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</si>
  <si>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</si>
  <si>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</si>
  <si>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</si>
  <si>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</si>
  <si>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</si>
  <si>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</si>
  <si>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</si>
  <si>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</si>
  <si>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</si>
  <si>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</si>
  <si>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</si>
  <si>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</si>
  <si>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</si>
  <si>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</si>
  <si>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</si>
  <si>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</si>
  <si>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</si>
  <si>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</si>
  <si>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</si>
  <si>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</si>
  <si>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</si>
  <si>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</si>
  <si>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</si>
  <si>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</si>
  <si>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</si>
  <si>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</si>
  <si>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</si>
  <si>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</si>
  <si>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</si>
  <si>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</si>
  <si>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</si>
  <si>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</si>
  <si>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</si>
  <si>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</si>
  <si>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</si>
  <si>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</si>
  <si>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</si>
  <si>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</si>
  <si>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</si>
  <si>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</si>
  <si>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</si>
  <si>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</si>
  <si>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</si>
  <si>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</si>
  <si>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</si>
  <si>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</si>
  <si>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</si>
  <si>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</si>
  <si>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</si>
  <si>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</si>
  <si>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</si>
  <si>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</si>
  <si>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</si>
  <si>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</si>
  <si>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</si>
  <si>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</si>
  <si>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</si>
  <si>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</si>
  <si>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</si>
  <si>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</si>
  <si>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</si>
  <si>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</si>
  <si>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</si>
  <si>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</si>
  <si>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</si>
  <si>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</si>
  <si>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</si>
  <si>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</si>
  <si>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</si>
  <si>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</si>
  <si>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</si>
  <si>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</si>
  <si>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</si>
  <si>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</si>
  <si>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</si>
  <si>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</si>
  <si>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</si>
  <si>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</si>
  <si>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</si>
  <si>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</si>
  <si>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</si>
  <si>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</si>
  <si>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</si>
  <si>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</si>
  <si>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</si>
  <si>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</si>
  <si>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</si>
  <si>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</si>
  <si>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</si>
  <si>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</si>
  <si>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</si>
  <si>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</si>
  <si>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</si>
  <si>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</si>
  <si>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</si>
  <si>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</si>
  <si>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</si>
  <si>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</si>
  <si>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</si>
  <si>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</si>
  <si>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</si>
  <si>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</si>
  <si>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</si>
  <si>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</si>
  <si>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</si>
  <si>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</si>
  <si>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</si>
  <si>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</si>
  <si>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</si>
  <si>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</si>
  <si>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</si>
  <si>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</si>
  <si>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</si>
  <si>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</si>
  <si>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</si>
  <si>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</si>
  <si>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</si>
  <si>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</si>
  <si>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</si>
  <si>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</si>
  <si>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</si>
  <si>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</si>
  <si>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</si>
  <si>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</si>
  <si>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</si>
  <si>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</si>
  <si>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</si>
  <si>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</si>
  <si>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</si>
  <si>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</si>
  <si>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</si>
  <si>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</si>
  <si>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</si>
  <si>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</si>
  <si>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</si>
  <si>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</si>
  <si>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</si>
  <si>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</si>
  <si>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</si>
  <si>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</si>
  <si>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</si>
  <si>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</si>
  <si>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</si>
  <si>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</si>
  <si>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</si>
  <si>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</si>
  <si>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</si>
  <si>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</si>
  <si>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</si>
  <si>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</si>
  <si>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</si>
  <si>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</si>
  <si>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</si>
  <si>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</si>
  <si>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</si>
  <si>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</si>
  <si>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</si>
  <si>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</si>
  <si>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</si>
  <si>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</si>
  <si>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</si>
  <si>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</si>
  <si>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</si>
  <si>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</si>
  <si>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</si>
  <si>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</si>
  <si>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</si>
  <si>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</si>
  <si>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</si>
  <si>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</si>
  <si>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</si>
  <si>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</si>
  <si>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</si>
  <si>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</si>
  <si>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</si>
  <si>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</si>
  <si>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</si>
  <si>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</si>
  <si>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</si>
  <si>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</si>
  <si>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</si>
  <si>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</si>
  <si>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</si>
  <si>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</si>
  <si>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</si>
  <si>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</si>
  <si>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</si>
  <si>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</si>
  <si>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</si>
  <si>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</si>
  <si>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</si>
  <si>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</si>
  <si>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</si>
  <si>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</si>
  <si>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</si>
  <si>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</si>
  <si>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</si>
  <si>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</si>
  <si>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</si>
  <si>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</si>
  <si>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</si>
  <si>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</si>
  <si>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</si>
  <si>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</si>
  <si>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</si>
  <si>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</si>
  <si>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</si>
  <si>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</si>
  <si>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</si>
  <si>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</si>
  <si>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</si>
  <si>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</si>
  <si>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</si>
  <si>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</si>
  <si>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</si>
  <si>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</si>
  <si>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</si>
  <si>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</si>
  <si>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</si>
  <si>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</si>
  <si>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</si>
  <si>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</si>
  <si>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</si>
  <si>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</si>
  <si>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</si>
  <si>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</si>
  <si>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</si>
  <si>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</si>
  <si>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</si>
  <si>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</si>
  <si>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</si>
  <si>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</si>
  <si>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</si>
  <si>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</si>
  <si>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</si>
  <si>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</si>
  <si>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</si>
  <si>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</si>
  <si>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</si>
  <si>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</si>
  <si>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</si>
  <si>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</si>
  <si>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</si>
  <si>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</si>
  <si>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</si>
  <si>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</si>
  <si>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</si>
  <si>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</si>
  <si>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</si>
  <si>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</si>
  <si>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</si>
  <si>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</si>
  <si>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</si>
  <si>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</si>
  <si>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</si>
  <si>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</si>
  <si>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</si>
  <si>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</si>
  <si>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</si>
  <si>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</si>
  <si>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</si>
  <si>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</si>
  <si>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</si>
  <si>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</si>
  <si>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</si>
  <si>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</si>
  <si>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</si>
  <si>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</si>
  <si>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</si>
  <si>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</si>
  <si>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</si>
  <si>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</si>
  <si>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</si>
  <si>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</si>
  <si>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</si>
  <si>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</si>
  <si>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</si>
  <si>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</si>
  <si>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</si>
  <si>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</si>
  <si>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</si>
  <si>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</si>
  <si>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</si>
  <si>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</si>
  <si>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</si>
  <si>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</si>
  <si>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</si>
  <si>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</si>
  <si>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</si>
  <si>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</si>
  <si>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</si>
  <si>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</si>
  <si>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</si>
  <si>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</si>
  <si>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</si>
  <si>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</si>
  <si>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</si>
  <si>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</si>
  <si>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</si>
  <si>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</si>
  <si>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</si>
  <si>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</si>
  <si>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</si>
  <si>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</si>
  <si>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</si>
  <si>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</si>
  <si>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</si>
  <si>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</si>
  <si>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</si>
  <si>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</si>
  <si>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</si>
  <si>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</si>
  <si>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</si>
  <si>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</si>
  <si>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</si>
  <si>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</si>
  <si>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</si>
  <si>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</si>
  <si>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</si>
  <si>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</si>
  <si>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</si>
  <si>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</si>
  <si>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</si>
  <si>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</si>
  <si>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</si>
  <si>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</si>
  <si>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</si>
  <si>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</si>
  <si>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</si>
  <si>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</si>
  <si>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</si>
  <si>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</si>
  <si>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</si>
  <si>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</si>
  <si>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</si>
  <si>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</si>
  <si>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</si>
  <si>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</si>
  <si>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</si>
  <si>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</si>
  <si>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</si>
  <si>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</si>
  <si>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</si>
  <si>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</si>
  <si>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</si>
  <si>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</si>
  <si>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</si>
  <si>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</si>
  <si>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</si>
  <si>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</si>
  <si>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</si>
  <si>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</si>
  <si>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</si>
  <si>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</si>
  <si>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</si>
  <si>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</si>
  <si>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</si>
  <si>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</si>
  <si>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</si>
  <si>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</si>
  <si>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</si>
  <si>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</si>
  <si>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</si>
  <si>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</si>
  <si>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</si>
  <si>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</si>
  <si>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</si>
  <si>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</si>
  <si>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</si>
  <si>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</si>
  <si>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</si>
  <si>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</si>
  <si>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</si>
  <si>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</si>
  <si>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</si>
  <si>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</si>
  <si>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</si>
  <si>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</si>
  <si>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</si>
  <si>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</si>
  <si>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</si>
  <si>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</si>
  <si>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</si>
  <si>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</si>
  <si>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</si>
  <si>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</si>
  <si>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</si>
  <si>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</si>
  <si>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</si>
  <si>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</si>
  <si>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</si>
  <si>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</si>
  <si>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</si>
  <si>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</si>
  <si>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</si>
  <si>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</si>
  <si>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</si>
  <si>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</si>
  <si>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</si>
  <si>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</si>
  <si>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</si>
  <si>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</si>
  <si>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</si>
  <si>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</si>
  <si>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</si>
  <si>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</si>
  <si>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</si>
  <si>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</si>
  <si>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</si>
  <si>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</si>
  <si>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</si>
  <si>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</si>
  <si>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</si>
  <si>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</si>
  <si>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</si>
  <si>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</si>
  <si>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</si>
  <si>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</si>
  <si>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</si>
  <si>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</si>
  <si>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</si>
  <si>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</si>
  <si>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</si>
  <si>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</si>
  <si>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</si>
  <si>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</si>
  <si>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</si>
  <si>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</si>
  <si>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</si>
  <si>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</si>
  <si>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</si>
  <si>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</si>
  <si>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</si>
  <si>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</si>
  <si>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</si>
  <si>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</si>
  <si>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</si>
  <si>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</si>
  <si>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</si>
  <si>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</si>
  <si>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</si>
  <si>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</si>
  <si>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</si>
  <si>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</si>
  <si>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</si>
  <si>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</si>
  <si>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</si>
  <si>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</si>
  <si>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</si>
  <si>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</si>
  <si>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</si>
  <si>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</si>
  <si>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</si>
  <si>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</si>
  <si>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</si>
  <si>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</si>
  <si>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</si>
  <si>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</si>
  <si>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</si>
  <si>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</si>
  <si>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</si>
  <si>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</si>
  <si>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</si>
  <si>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</si>
  <si>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</si>
  <si>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</si>
  <si>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</si>
  <si>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</si>
  <si>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</si>
  <si>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</si>
  <si>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</si>
  <si>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</si>
  <si>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</si>
  <si>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</si>
  <si>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</si>
  <si>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</si>
  <si>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</si>
  <si>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</si>
  <si>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</si>
  <si>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</si>
  <si>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</si>
  <si>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</si>
  <si>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</si>
  <si>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</si>
  <si>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</si>
  <si>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</si>
  <si>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</si>
  <si>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</si>
  <si>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</si>
  <si>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</si>
  <si>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</si>
  <si>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</si>
  <si>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</si>
  <si>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</si>
  <si>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</si>
  <si>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</si>
  <si>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</si>
  <si>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</si>
  <si>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</si>
  <si>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</si>
  <si>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</si>
  <si>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</si>
  <si>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</si>
  <si>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</si>
  <si>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</si>
  <si>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</si>
  <si>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</si>
  <si>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</si>
  <si>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</si>
  <si>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</si>
  <si>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</si>
  <si>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</si>
  <si>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</si>
  <si>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</si>
  <si>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</si>
  <si>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</si>
  <si>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</si>
  <si>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</si>
  <si>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</si>
  <si>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</si>
  <si>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</si>
  <si>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</si>
  <si>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</si>
  <si>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</si>
  <si>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</si>
  <si>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</si>
  <si>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</si>
  <si>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</si>
  <si>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</si>
  <si>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</si>
  <si>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</si>
  <si>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</si>
  <si>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</si>
  <si>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</si>
  <si>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</si>
  <si>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</si>
  <si>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</si>
  <si>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</si>
  <si>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</si>
  <si>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</si>
  <si>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</si>
  <si>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</si>
  <si>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</si>
  <si>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</si>
  <si>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</si>
  <si>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</si>
  <si>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</si>
  <si>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</si>
  <si>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</si>
  <si>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</si>
  <si>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</si>
  <si>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</si>
  <si>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</si>
  <si>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</si>
  <si>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</si>
  <si>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</si>
  <si>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</si>
  <si>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</si>
  <si>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</si>
  <si>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</si>
  <si>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</si>
  <si>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</si>
  <si>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</si>
  <si>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</si>
  <si>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</si>
  <si>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</si>
  <si>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</si>
  <si>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</si>
  <si>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</si>
  <si>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</si>
  <si>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</si>
  <si>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</si>
  <si>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</si>
  <si>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</si>
  <si>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</si>
  <si>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</si>
  <si>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</si>
  <si>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</si>
  <si>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</si>
  <si>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</si>
  <si>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</si>
  <si>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</si>
  <si>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</si>
  <si>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</si>
  <si>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</si>
  <si>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</si>
  <si>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</si>
  <si>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</si>
  <si>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</si>
  <si>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</si>
  <si>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</si>
  <si>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</si>
  <si>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</si>
  <si>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</si>
  <si>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</si>
  <si>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</si>
  <si>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</si>
  <si>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</si>
  <si>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</si>
  <si>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</si>
  <si>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</si>
  <si>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</si>
  <si>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</si>
  <si>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</si>
  <si>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</si>
  <si>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</si>
  <si>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</si>
  <si>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</si>
  <si>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</si>
  <si>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</si>
  <si>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</si>
  <si>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</si>
  <si>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</si>
  <si>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</si>
  <si>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</si>
  <si>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</si>
  <si>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</si>
  <si>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</si>
  <si>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</si>
  <si>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</si>
  <si>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</si>
  <si>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</si>
  <si>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</si>
  <si>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</si>
  <si>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</si>
  <si>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</si>
  <si>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</si>
  <si>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</si>
  <si>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</si>
  <si>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</si>
  <si>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</si>
  <si>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</si>
  <si>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</si>
  <si>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</si>
  <si>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</si>
  <si>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</si>
  <si>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</si>
  <si>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</si>
  <si>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</si>
  <si>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</si>
  <si>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</si>
  <si>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</si>
  <si>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</si>
  <si>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</si>
  <si>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</si>
  <si>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</si>
  <si>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</si>
  <si>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</si>
  <si>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</si>
  <si>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</si>
  <si>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</si>
  <si>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</si>
  <si>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</si>
  <si>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</si>
  <si>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</si>
  <si>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</si>
  <si>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</si>
  <si>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</si>
  <si>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</si>
  <si>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</si>
  <si>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</si>
  <si>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</si>
  <si>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</si>
  <si>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</si>
  <si>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</si>
  <si>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</si>
  <si>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</si>
  <si>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</si>
  <si>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</si>
  <si>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</si>
  <si>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</si>
  <si>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</si>
  <si>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</si>
  <si>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</si>
  <si>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</si>
  <si>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</si>
  <si>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</si>
  <si>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</si>
  <si>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</si>
  <si>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</si>
  <si>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</si>
  <si>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</si>
  <si>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</si>
  <si>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</si>
  <si>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</si>
  <si>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</si>
  <si>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</si>
  <si>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</si>
  <si>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</si>
  <si>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</si>
  <si>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</si>
  <si>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</si>
  <si>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</si>
  <si>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</si>
  <si>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</si>
  <si>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</si>
  <si>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</si>
  <si>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</si>
  <si>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</si>
  <si>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</si>
  <si>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</si>
  <si>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</si>
  <si>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</si>
  <si>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</si>
  <si>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</si>
  <si>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</si>
  <si>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</si>
  <si>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</si>
  <si>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</si>
  <si>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</si>
  <si>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</si>
  <si>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</si>
  <si>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</si>
  <si>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</si>
  <si>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</si>
  <si>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</si>
  <si>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</si>
  <si>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</si>
  <si>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</si>
  <si>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</si>
  <si>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</si>
  <si>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</si>
  <si>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</si>
  <si>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</si>
  <si>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</si>
  <si>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</si>
  <si>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</si>
  <si>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</si>
  <si>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</si>
  <si>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</si>
  <si>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</si>
  <si>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</si>
  <si>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</si>
  <si>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</si>
  <si>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</si>
  <si>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</si>
  <si>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</si>
  <si>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</si>
  <si>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</si>
  <si>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</si>
  <si>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</si>
  <si>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</si>
  <si>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</si>
  <si>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</si>
  <si>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</si>
  <si>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</si>
  <si>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</si>
  <si>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</si>
  <si>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</si>
  <si>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</si>
  <si>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</si>
  <si>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</si>
  <si>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</si>
  <si>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</si>
  <si>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</si>
  <si>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</si>
  <si>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</si>
  <si>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</si>
  <si>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</si>
  <si>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</si>
  <si>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</si>
  <si>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</si>
  <si>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</si>
  <si>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</si>
  <si>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</si>
  <si>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</si>
  <si>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</si>
  <si>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</si>
  <si>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</si>
  <si>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</si>
  <si>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</si>
  <si>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</si>
  <si>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</si>
  <si>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</si>
  <si>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</si>
  <si>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</si>
  <si>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</si>
  <si>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</si>
  <si>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</si>
  <si>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</si>
  <si>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</si>
  <si>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</si>
  <si>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</si>
  <si>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</si>
  <si>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</si>
  <si>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</si>
  <si>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</si>
  <si>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</si>
  <si>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</si>
  <si>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</si>
  <si>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</si>
  <si>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</si>
  <si>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</si>
  <si>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</si>
  <si>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</si>
  <si>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</si>
  <si>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</si>
  <si>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</si>
  <si>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</si>
  <si>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</si>
  <si>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</si>
  <si>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</si>
  <si>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</si>
  <si>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</si>
  <si>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</si>
  <si>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</si>
  <si>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</si>
  <si>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</si>
  <si>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</si>
  <si>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</si>
  <si>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</si>
  <si>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</si>
  <si>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</si>
  <si>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</si>
  <si>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</si>
  <si>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</si>
  <si>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</si>
  <si>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</si>
  <si>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</si>
  <si>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</si>
  <si>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</si>
  <si>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</si>
  <si>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</si>
  <si>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</si>
  <si>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</si>
  <si>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</si>
  <si>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</si>
  <si>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</si>
  <si>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</si>
  <si>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</si>
  <si>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</si>
  <si>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</si>
  <si>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</si>
  <si>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</si>
  <si>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</si>
  <si>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</si>
  <si>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</si>
  <si>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</si>
  <si>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</si>
  <si>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</si>
  <si>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</si>
  <si>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</si>
  <si>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</si>
  <si>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</si>
  <si>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</si>
  <si>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</si>
  <si>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</si>
  <si>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</si>
  <si>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</si>
  <si>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</si>
  <si>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</si>
  <si>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</si>
  <si>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</si>
  <si>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</si>
  <si>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</si>
  <si>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</si>
  <si>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</si>
  <si>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</si>
  <si>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</si>
  <si>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</si>
  <si>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</si>
  <si>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</si>
  <si>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</si>
  <si>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</si>
  <si>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</si>
  <si>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</si>
  <si>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</si>
  <si>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</si>
  <si>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</si>
  <si>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</si>
  <si>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</si>
  <si>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</si>
  <si>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</si>
  <si>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</si>
  <si>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</si>
  <si>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</si>
  <si>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</si>
  <si>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</si>
  <si>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</si>
  <si>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</si>
  <si>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</si>
  <si>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</si>
  <si>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</si>
  <si>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</si>
  <si>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</si>
  <si>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</si>
  <si>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</si>
  <si>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</si>
  <si>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</si>
  <si>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</si>
  <si>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</si>
  <si>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</si>
  <si>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</si>
  <si>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</si>
  <si>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</si>
  <si>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</si>
  <si>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</si>
  <si>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</si>
  <si>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</si>
  <si>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</si>
  <si>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</si>
  <si>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</si>
  <si>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</si>
  <si>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</si>
  <si>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</si>
  <si>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</si>
  <si>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</si>
  <si>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</si>
  <si>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</si>
  <si>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</si>
  <si>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</si>
  <si>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</si>
  <si>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</si>
  <si>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</si>
  <si>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</si>
  <si>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</si>
  <si>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</si>
  <si>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</si>
  <si>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</si>
  <si>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</si>
  <si>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</si>
  <si>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</si>
  <si>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</si>
  <si>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</si>
  <si>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</si>
  <si>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</si>
  <si>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</si>
  <si>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</si>
  <si>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</si>
  <si>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</si>
  <si>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</si>
  <si>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</si>
  <si>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</si>
  <si>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</si>
  <si>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</si>
  <si>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</si>
  <si>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</si>
  <si>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</si>
  <si>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</si>
  <si>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</si>
  <si>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</si>
  <si>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</si>
  <si>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</si>
  <si>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</si>
  <si>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</si>
  <si>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</si>
  <si>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</si>
  <si>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</si>
  <si>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</si>
  <si>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</si>
  <si>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</si>
  <si>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</si>
  <si>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</si>
  <si>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</si>
  <si>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</si>
  <si>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</si>
  <si>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</si>
  <si>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</si>
  <si>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</si>
  <si>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</si>
  <si>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</si>
  <si>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</si>
  <si>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</si>
  <si>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</si>
  <si>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</si>
  <si>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</si>
  <si>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</si>
  <si>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</si>
  <si>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</si>
  <si>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</si>
  <si>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</si>
  <si>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</si>
  <si>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</si>
  <si>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</si>
  <si>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</si>
  <si>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</si>
  <si>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</si>
  <si>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</si>
  <si>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</si>
  <si>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</si>
  <si>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</si>
  <si>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</si>
  <si>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</si>
  <si>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</si>
  <si>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</si>
  <si>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</si>
  <si>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</si>
  <si>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</si>
  <si>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</si>
  <si>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</si>
  <si>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</si>
  <si>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</si>
  <si>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</si>
  <si>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</si>
  <si>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</si>
  <si>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</si>
  <si>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</si>
  <si>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</si>
  <si>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</si>
  <si>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</si>
  <si>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</si>
  <si>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</si>
  <si>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</si>
  <si>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</si>
  <si>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</si>
  <si>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</si>
  <si>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</si>
  <si>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</si>
  <si>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</si>
  <si>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</si>
  <si>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</si>
  <si>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</si>
  <si>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</si>
  <si>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</si>
  <si>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</si>
  <si>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</si>
  <si>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</si>
  <si>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</si>
  <si>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</si>
  <si>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</si>
  <si>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</si>
  <si>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</si>
  <si>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</si>
  <si>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</si>
  <si>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</si>
  <si>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</si>
  <si>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</si>
  <si>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</si>
  <si>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</si>
  <si>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</si>
  <si>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</si>
  <si>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</si>
  <si>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</si>
  <si>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</si>
  <si>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</si>
  <si>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</si>
  <si>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</si>
  <si>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</si>
  <si>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</si>
  <si>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</si>
  <si>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</si>
  <si>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</si>
  <si>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</si>
  <si>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</si>
  <si>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</si>
  <si>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</si>
  <si>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</si>
  <si>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</si>
  <si>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</si>
  <si>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</si>
  <si>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</si>
  <si>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</si>
  <si>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</si>
  <si>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</si>
  <si>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</si>
  <si>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</si>
  <si>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</si>
  <si>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</si>
  <si>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</si>
  <si>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</si>
  <si>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</si>
  <si>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</si>
  <si>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</si>
  <si>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</si>
  <si>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</si>
  <si>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</si>
  <si>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</si>
  <si>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</si>
  <si>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</si>
  <si>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</si>
  <si>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</si>
  <si>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</si>
  <si>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</si>
  <si>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</si>
  <si>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</si>
  <si>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</si>
  <si>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</si>
  <si>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</si>
  <si>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</si>
  <si>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</si>
  <si>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</si>
  <si>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</si>
  <si>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</si>
  <si>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</si>
  <si>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</si>
  <si>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</si>
  <si>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</si>
  <si>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</si>
  <si>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</si>
  <si>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</si>
  <si>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</si>
  <si>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</si>
  <si>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</si>
  <si>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</si>
  <si>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</si>
  <si>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</si>
  <si>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</si>
  <si>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</si>
  <si>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</si>
  <si>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</si>
  <si>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</si>
  <si>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</si>
  <si>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</si>
  <si>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</si>
  <si>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</si>
  <si>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</si>
  <si>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</si>
  <si>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</si>
  <si>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</si>
  <si>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</si>
  <si>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</si>
  <si>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</si>
  <si>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</si>
  <si>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</si>
  <si>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</si>
  <si>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</si>
  <si>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</si>
  <si>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</si>
  <si>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</si>
  <si>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</si>
  <si>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</si>
  <si>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</si>
  <si>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</si>
  <si>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</si>
  <si>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</si>
  <si>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</si>
  <si>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</si>
  <si>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</si>
  <si>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</si>
  <si>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</si>
  <si>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</si>
  <si>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</si>
  <si>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</si>
  <si>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</si>
  <si>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</si>
  <si>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</si>
  <si>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</si>
  <si>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</si>
  <si>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</si>
  <si>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</si>
  <si>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</si>
  <si>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</si>
  <si>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</si>
  <si>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</si>
  <si>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</si>
  <si>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</si>
  <si>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</si>
  <si>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</si>
  <si>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</si>
  <si>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</si>
  <si>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</si>
  <si>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</si>
  <si>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</si>
  <si>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</si>
  <si>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</si>
  <si>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</si>
  <si>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</si>
  <si>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</si>
  <si>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</si>
  <si>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</si>
  <si>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</si>
  <si>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</si>
  <si>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</si>
  <si>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</si>
  <si>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</si>
  <si>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</si>
  <si>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</si>
  <si>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</si>
  <si>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</si>
  <si>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</si>
  <si>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</si>
  <si>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</si>
  <si>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</si>
  <si>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</si>
  <si>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</si>
  <si>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</si>
  <si>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</si>
  <si>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</si>
  <si>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</si>
  <si>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</si>
  <si>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</si>
  <si>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</si>
  <si>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</si>
  <si>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</si>
  <si>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</si>
  <si>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</si>
  <si>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</si>
  <si>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</si>
  <si>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</si>
  <si>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</si>
  <si>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</si>
  <si>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</si>
  <si>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</si>
  <si>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</si>
  <si>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</si>
  <si>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</si>
  <si>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</si>
  <si>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</si>
  <si>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</si>
  <si>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</si>
  <si>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</si>
  <si>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</si>
  <si>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</si>
  <si>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</si>
  <si>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</si>
  <si>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</si>
  <si>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</si>
  <si>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</si>
  <si>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</si>
  <si>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</si>
  <si>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</si>
  <si>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</si>
  <si>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</si>
  <si>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</si>
  <si>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</si>
  <si>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</si>
  <si>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</si>
  <si>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</si>
  <si>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</si>
  <si>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</si>
  <si>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</si>
  <si>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</si>
  <si>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</si>
  <si>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</si>
  <si>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</si>
  <si>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</si>
  <si>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</si>
  <si>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</si>
  <si>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</si>
  <si>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</si>
  <si>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</si>
  <si>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</si>
  <si>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</si>
  <si>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</si>
  <si>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</si>
  <si>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</si>
  <si>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</si>
  <si>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</si>
  <si>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</si>
  <si>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</si>
  <si>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</si>
  <si>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</si>
  <si>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</si>
  <si>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</si>
  <si>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</si>
  <si>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</si>
  <si>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</si>
  <si>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</si>
  <si>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</si>
  <si>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</si>
  <si>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</si>
  <si>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</si>
  <si>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</si>
  <si>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</si>
  <si>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</si>
  <si>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</si>
  <si>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</si>
  <si>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</si>
  <si>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</si>
  <si>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</si>
  <si>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</si>
  <si>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</si>
  <si>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</si>
  <si>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</si>
  <si>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</si>
  <si>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</si>
  <si>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</si>
  <si>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</si>
  <si>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</si>
  <si>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</si>
  <si>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</si>
  <si>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</si>
  <si>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</si>
  <si>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</si>
  <si>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</si>
  <si>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</si>
  <si>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</si>
  <si>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</si>
  <si>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</si>
  <si>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</si>
  <si>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</si>
  <si>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</si>
  <si>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</si>
  <si>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</si>
  <si>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</si>
  <si>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</si>
  <si>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</si>
  <si>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</si>
  <si>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</si>
  <si>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</si>
  <si>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</si>
  <si>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</si>
  <si>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</si>
  <si>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</si>
  <si>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</si>
  <si>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</si>
  <si>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</si>
  <si>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</si>
  <si>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</si>
  <si>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</si>
  <si>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</si>
  <si>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</si>
  <si>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</si>
  <si>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</si>
  <si>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</si>
  <si>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</si>
  <si>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</si>
  <si>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</si>
  <si>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</si>
  <si>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</si>
  <si>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</si>
  <si>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</si>
  <si>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</si>
  <si>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</si>
  <si>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</si>
  <si>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</si>
  <si>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</si>
  <si>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</si>
  <si>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</si>
  <si>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</si>
  <si>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</si>
  <si>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</si>
  <si>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</si>
  <si>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</si>
  <si>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</si>
  <si>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</si>
  <si>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</si>
  <si>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</si>
  <si>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</si>
  <si>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</si>
  <si>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</si>
  <si>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</si>
  <si>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</si>
  <si>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</si>
  <si>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</si>
  <si>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</si>
  <si>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</si>
  <si>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</si>
  <si>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</si>
  <si>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</si>
  <si>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</si>
  <si>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</si>
  <si>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</si>
  <si>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</si>
  <si>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</si>
  <si>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</si>
  <si>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</si>
  <si>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</si>
  <si>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</si>
  <si>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</si>
  <si>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</si>
  <si>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</si>
  <si>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</si>
  <si>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</si>
  <si>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</si>
  <si>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</si>
  <si>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</si>
  <si>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</si>
  <si>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</si>
  <si>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</si>
  <si>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</si>
  <si>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</si>
  <si>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</si>
  <si>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</si>
  <si>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</si>
  <si>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</si>
  <si>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</si>
  <si>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</si>
  <si>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</si>
  <si>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</si>
  <si>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</si>
  <si>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</si>
  <si>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</si>
  <si>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</si>
  <si>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</si>
  <si>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</si>
  <si>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</si>
  <si>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</si>
  <si>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</si>
  <si>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</si>
  <si>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</si>
  <si>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</si>
  <si>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</si>
  <si>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</si>
  <si>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</si>
  <si>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</si>
  <si>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</si>
  <si>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</si>
  <si>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</si>
  <si>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</si>
  <si>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</si>
  <si>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</si>
  <si>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</si>
  <si>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</si>
  <si>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</si>
  <si>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</si>
  <si>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</si>
  <si>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</si>
  <si>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</si>
  <si>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</si>
  <si>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</si>
  <si>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</si>
  <si>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</si>
  <si>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</si>
  <si>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</si>
  <si>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</si>
  <si>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</si>
  <si>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</si>
  <si>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</si>
  <si>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</si>
  <si>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</si>
  <si>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</si>
  <si>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</si>
  <si>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</si>
  <si>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</si>
  <si>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</si>
  <si>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</si>
  <si>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</si>
  <si>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</si>
  <si>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</si>
  <si>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</si>
  <si>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</si>
  <si>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</si>
  <si>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</si>
  <si>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</si>
  <si>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</si>
  <si>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</si>
  <si>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</si>
  <si>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</si>
  <si>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</si>
  <si>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</si>
  <si>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</si>
  <si>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</si>
  <si>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</si>
  <si>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</si>
  <si>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</si>
  <si>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</si>
  <si>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</si>
  <si>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</si>
  <si>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</si>
  <si>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</si>
  <si>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</si>
  <si>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</si>
  <si>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</si>
  <si>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</si>
  <si>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</si>
  <si>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</si>
  <si>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</si>
  <si>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</si>
  <si>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</si>
  <si>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</si>
  <si>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</si>
  <si>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</si>
  <si>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</si>
  <si>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</si>
  <si>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</si>
  <si>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</si>
  <si>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</si>
  <si>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</si>
  <si>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</si>
  <si>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</si>
  <si>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</si>
  <si>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</si>
  <si>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</si>
  <si>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</si>
  <si>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</si>
  <si>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</si>
  <si>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</si>
  <si>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</si>
  <si>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</si>
  <si>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</si>
  <si>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</si>
  <si>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</si>
  <si>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</si>
  <si>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</si>
  <si>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</si>
  <si>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</si>
  <si>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</si>
  <si>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</si>
  <si>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</si>
  <si>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</si>
  <si>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</si>
  <si>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</si>
  <si>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</si>
  <si>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</si>
  <si>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</si>
  <si>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</si>
  <si>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</si>
  <si>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</si>
  <si>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</si>
  <si>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</si>
  <si>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</si>
  <si>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</si>
  <si>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</si>
  <si>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</si>
  <si>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</si>
  <si>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</si>
  <si>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</si>
  <si>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</si>
  <si>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</si>
  <si>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</si>
  <si>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</si>
  <si>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</si>
  <si>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</si>
  <si>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</si>
  <si>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</si>
  <si>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</si>
  <si>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</si>
  <si>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</si>
  <si>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</si>
  <si>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</si>
  <si>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</si>
  <si>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</si>
  <si>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</si>
  <si>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</si>
  <si>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</si>
  <si>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</si>
  <si>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</si>
  <si>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</si>
  <si>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</si>
  <si>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</si>
  <si>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</si>
  <si>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</si>
  <si>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</si>
  <si>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</si>
  <si>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</si>
  <si>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</si>
  <si>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</si>
  <si>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</si>
  <si>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</si>
  <si>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</si>
  <si>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</si>
  <si>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</si>
  <si>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</si>
  <si>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</si>
  <si>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</si>
  <si>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</si>
  <si>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</si>
  <si>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</si>
  <si>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</si>
  <si>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</si>
  <si>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</si>
  <si>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</si>
  <si>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</si>
  <si>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</si>
  <si>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</si>
  <si>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</si>
  <si>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</si>
  <si>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</si>
  <si>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</si>
  <si>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</si>
  <si>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</si>
  <si>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</si>
  <si>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</si>
  <si>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</si>
  <si>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</si>
  <si>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</si>
  <si>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</si>
  <si>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</si>
  <si>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</si>
  <si>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</si>
  <si>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</si>
  <si>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</si>
  <si>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</si>
  <si>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</si>
  <si>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</si>
  <si>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</si>
  <si>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</si>
  <si>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</si>
  <si>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</si>
  <si>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</si>
  <si>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</si>
  <si>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</si>
  <si>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</si>
  <si>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</si>
  <si>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</si>
  <si>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</si>
  <si>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</si>
  <si>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</si>
  <si>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</si>
  <si>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</si>
  <si>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</si>
  <si>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</si>
  <si>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</si>
  <si>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</si>
  <si>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</si>
  <si>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</si>
  <si>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</si>
  <si>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</si>
  <si>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</si>
  <si>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</si>
  <si>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</si>
  <si>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</si>
  <si>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</si>
  <si>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</si>
  <si>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</si>
  <si>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</si>
  <si>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</si>
  <si>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</si>
  <si>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</si>
  <si>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</si>
  <si>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</si>
  <si>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</si>
  <si>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</si>
  <si>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</si>
  <si>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</si>
  <si>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</si>
  <si>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</si>
  <si>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</si>
  <si>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</si>
  <si>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</si>
  <si>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</si>
  <si>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</si>
  <si>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</si>
  <si>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</si>
  <si>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</si>
  <si>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</si>
  <si>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</si>
  <si>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</si>
  <si>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</si>
  <si>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</si>
  <si>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</si>
  <si>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</si>
  <si>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</si>
  <si>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</si>
  <si>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</si>
  <si>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</si>
  <si>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</si>
  <si>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</si>
  <si>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</si>
  <si>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</si>
  <si>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</si>
  <si>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</si>
  <si>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</si>
  <si>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</si>
  <si>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</si>
  <si>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</si>
  <si>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</si>
  <si>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</si>
  <si>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</si>
  <si>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</si>
  <si>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</si>
  <si>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</si>
  <si>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</si>
  <si>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</si>
  <si>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</si>
  <si>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</si>
  <si>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</si>
  <si>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</si>
  <si>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</si>
  <si>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</si>
  <si>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</si>
  <si>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</si>
  <si>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</si>
  <si>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</si>
  <si>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</si>
  <si>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</si>
  <si>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</si>
  <si>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</si>
  <si>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</si>
  <si>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</si>
  <si>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</si>
  <si>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</si>
  <si>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</si>
  <si>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</si>
  <si>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</si>
  <si>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</si>
  <si>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</si>
  <si>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</si>
  <si>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</si>
  <si>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</si>
  <si>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</si>
  <si>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</si>
  <si>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</si>
  <si>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</si>
  <si>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</si>
  <si>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</si>
  <si>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</si>
  <si>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</si>
  <si>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</si>
  <si>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</si>
  <si>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</si>
  <si>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</si>
  <si>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</si>
  <si>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</si>
  <si>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</si>
  <si>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</si>
  <si>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</si>
  <si>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</si>
  <si>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</si>
  <si>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</si>
  <si>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</si>
  <si>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</si>
  <si>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</si>
  <si>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</si>
  <si>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</si>
  <si>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</si>
  <si>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</si>
  <si>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</si>
  <si>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</si>
  <si>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</si>
  <si>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</si>
  <si>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</si>
  <si>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</si>
  <si>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</si>
  <si>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</si>
  <si>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</si>
  <si>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</si>
  <si>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</si>
  <si>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</si>
  <si>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</si>
  <si>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</si>
  <si>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</si>
  <si>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</si>
  <si>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</si>
  <si>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</si>
  <si>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</si>
  <si>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</si>
  <si>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</si>
  <si>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</si>
  <si>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</si>
  <si>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</si>
  <si>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</si>
  <si>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</si>
  <si>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</si>
  <si>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</si>
  <si>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</si>
  <si>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</si>
  <si>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</si>
  <si>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</si>
  <si>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</si>
  <si>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</si>
  <si>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</si>
  <si>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</si>
  <si>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</si>
  <si>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</si>
  <si>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</si>
  <si>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</si>
  <si>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</si>
  <si>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</si>
  <si>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</si>
  <si>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</si>
  <si>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</si>
  <si>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</si>
  <si>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</si>
  <si>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</si>
  <si>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</si>
  <si>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</si>
  <si>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</si>
  <si>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</si>
  <si>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</si>
  <si>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</si>
  <si>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</si>
  <si>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</si>
  <si>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</si>
  <si>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</si>
  <si>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</si>
  <si>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</si>
  <si>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</si>
  <si>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</si>
  <si>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</si>
  <si>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</si>
  <si>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</si>
  <si>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</si>
  <si>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</si>
  <si>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</si>
  <si>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</si>
  <si>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</si>
  <si>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</si>
  <si>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</si>
  <si>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</si>
  <si>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</si>
  <si>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</si>
  <si>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</si>
  <si>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</si>
  <si>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</si>
  <si>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</si>
  <si>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</si>
  <si>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</si>
  <si>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</si>
  <si>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</si>
  <si>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</si>
  <si>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</si>
  <si>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</si>
  <si>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</si>
  <si>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</si>
  <si>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</si>
  <si>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</si>
  <si>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</si>
  <si>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</si>
  <si>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</si>
  <si>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</si>
  <si>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</si>
  <si>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</si>
  <si>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</si>
  <si>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</si>
  <si>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</si>
  <si>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</si>
  <si>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</si>
  <si>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</si>
  <si>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</si>
  <si>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</si>
  <si>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</si>
  <si>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</si>
  <si>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</si>
  <si>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</si>
  <si>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</si>
  <si>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</si>
  <si>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</si>
  <si>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</si>
  <si>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</si>
  <si>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</si>
  <si>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</si>
  <si>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</si>
  <si>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</si>
  <si>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</si>
  <si>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</si>
  <si>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</si>
  <si>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</si>
  <si>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</si>
  <si>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</si>
  <si>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</si>
  <si>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</si>
  <si>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</si>
  <si>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</si>
  <si>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</si>
  <si>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</si>
  <si>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</si>
  <si>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</si>
  <si>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</si>
  <si>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</si>
  <si>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</si>
  <si>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</si>
  <si>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</si>
  <si>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</si>
  <si>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</si>
  <si>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</si>
  <si>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</si>
  <si>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</si>
  <si>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</si>
  <si>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</si>
  <si>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</si>
  <si>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</si>
  <si>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</si>
  <si>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</si>
  <si>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</si>
  <si>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</si>
  <si>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</si>
  <si>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</si>
  <si>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</si>
  <si>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</si>
  <si>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</si>
  <si>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</si>
  <si>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</si>
  <si>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</si>
  <si>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</si>
  <si>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</si>
  <si>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</si>
  <si>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</si>
  <si>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</si>
  <si>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</si>
  <si>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</si>
  <si>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</si>
  <si>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</si>
  <si>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</si>
  <si>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</si>
  <si>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</si>
  <si>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</si>
  <si>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</si>
  <si>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</si>
  <si>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</si>
  <si>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</si>
  <si>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</si>
  <si>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</si>
  <si>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</si>
  <si>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</si>
  <si>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</si>
  <si>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</si>
  <si>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</si>
  <si>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</si>
  <si>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</si>
  <si>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</si>
  <si>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</si>
  <si>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</si>
  <si>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</si>
  <si>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</si>
  <si>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</si>
  <si>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</si>
  <si>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</si>
  <si>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</si>
  <si>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</si>
  <si>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</si>
  <si>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</si>
  <si>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</si>
  <si>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</si>
  <si>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</si>
  <si>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</si>
  <si>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</si>
  <si>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</si>
  <si>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</si>
  <si>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</si>
  <si>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</si>
  <si>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</si>
  <si>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</si>
  <si>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</si>
  <si>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</si>
  <si>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</si>
  <si>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</si>
  <si>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</si>
  <si>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</si>
  <si>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</si>
  <si>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</si>
  <si>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</si>
  <si>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</si>
  <si>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</si>
  <si>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</si>
  <si>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</si>
  <si>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</si>
  <si>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</si>
  <si>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</si>
  <si>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</si>
  <si>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</si>
  <si>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</si>
  <si>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</si>
  <si>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</si>
  <si>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</si>
  <si>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</si>
  <si>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</si>
  <si>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</si>
  <si>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</si>
  <si>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</si>
  <si>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</si>
  <si>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</si>
  <si>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</si>
  <si>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</si>
  <si>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</si>
  <si>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</si>
  <si>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</si>
  <si>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</si>
  <si>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</si>
  <si>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</si>
  <si>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</si>
  <si>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</si>
  <si>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</si>
  <si>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</si>
  <si>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</si>
  <si>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</si>
  <si>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</si>
  <si>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</si>
  <si>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</si>
  <si>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</si>
  <si>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</si>
  <si>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</si>
  <si>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</si>
  <si>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</si>
  <si>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</si>
  <si>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</si>
  <si>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</si>
  <si>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</si>
  <si>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</si>
  <si>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</si>
  <si>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</si>
  <si>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</si>
  <si>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</si>
  <si>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</si>
  <si>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</si>
  <si>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</si>
  <si>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</si>
  <si>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</si>
  <si>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</si>
  <si>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</si>
  <si>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</si>
  <si>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</si>
  <si>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</si>
  <si>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</si>
  <si>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</si>
  <si>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</si>
  <si>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</si>
  <si>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</si>
  <si>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</si>
  <si>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</si>
  <si>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</si>
  <si>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</si>
  <si>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</si>
  <si>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</si>
  <si>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</si>
  <si>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</si>
  <si>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</si>
  <si>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</si>
  <si>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</si>
  <si>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</si>
  <si>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</si>
  <si>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</si>
  <si>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</si>
  <si>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</si>
  <si>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</si>
  <si>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</si>
  <si>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</si>
  <si>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</si>
  <si>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</si>
  <si>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</si>
  <si>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</si>
  <si>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</si>
  <si>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</si>
  <si>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</si>
  <si>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</si>
  <si>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</si>
  <si>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</si>
  <si>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</si>
  <si>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</si>
  <si>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</si>
  <si>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</si>
  <si>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</si>
  <si>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</si>
  <si>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</si>
  <si>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</si>
  <si>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</si>
  <si>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</si>
  <si>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</si>
  <si>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</si>
  <si>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</si>
  <si>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</si>
  <si>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</si>
  <si>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</si>
  <si>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</si>
  <si>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</si>
  <si>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</si>
  <si>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</si>
  <si>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</si>
  <si>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</si>
  <si>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</si>
  <si>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</si>
  <si>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</si>
  <si>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</si>
  <si>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</si>
  <si>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</si>
  <si>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</si>
  <si>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</si>
  <si>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</si>
  <si>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</si>
  <si>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</si>
  <si>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</si>
  <si>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</si>
  <si>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</si>
  <si>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</si>
  <si>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</si>
  <si>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</si>
  <si>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</si>
  <si>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</si>
  <si>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</si>
  <si>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</si>
  <si>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</si>
  <si>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</si>
  <si>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</si>
  <si>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</si>
  <si>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</si>
  <si>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</si>
  <si>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</si>
  <si>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</si>
  <si>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</si>
  <si>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</si>
  <si>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</si>
  <si>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</si>
  <si>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</si>
  <si>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</si>
  <si>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</si>
  <si>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</si>
  <si>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</si>
  <si>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</si>
  <si>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</si>
  <si>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</si>
  <si>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</si>
  <si>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</si>
  <si>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</si>
  <si>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</si>
  <si>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</si>
  <si>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</si>
  <si>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</si>
  <si>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</si>
  <si>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</si>
  <si>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</si>
  <si>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</si>
  <si>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</si>
  <si>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</si>
  <si>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</si>
  <si>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</si>
  <si>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</si>
  <si>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</si>
  <si>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</si>
  <si>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</si>
  <si>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</si>
  <si>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</si>
  <si>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</si>
  <si>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</si>
  <si>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</si>
  <si>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</si>
  <si>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</si>
  <si>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</si>
  <si>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</si>
  <si>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</si>
  <si>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</si>
  <si>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</si>
  <si>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</si>
  <si>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</si>
  <si>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</si>
  <si>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</si>
  <si>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</si>
  <si>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</si>
  <si>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</si>
  <si>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</si>
  <si>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</si>
  <si>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</si>
  <si>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</si>
  <si>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</si>
  <si>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</si>
  <si>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</si>
  <si>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</si>
  <si>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</si>
  <si>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</si>
  <si>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</si>
  <si>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</si>
  <si>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</si>
  <si>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</si>
  <si>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</si>
  <si>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</si>
  <si>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</si>
  <si>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</si>
  <si>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</si>
  <si>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</si>
  <si>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</si>
  <si>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</si>
  <si>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</si>
  <si>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</si>
  <si>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</si>
  <si>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</si>
  <si>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</si>
  <si>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</si>
  <si>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</si>
  <si>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</si>
  <si>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</si>
  <si>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</si>
  <si>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</si>
  <si>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</si>
  <si>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</si>
  <si>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</si>
  <si>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</si>
  <si>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</si>
  <si>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</si>
  <si>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</si>
  <si>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</si>
  <si>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</si>
  <si>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</si>
  <si>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</si>
  <si>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</si>
  <si>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</si>
  <si>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</si>
  <si>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</si>
  <si>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</si>
  <si>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</si>
  <si>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</si>
  <si>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</si>
  <si>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</si>
  <si>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</si>
  <si>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</si>
  <si>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</si>
  <si>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</si>
  <si>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</si>
  <si>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</si>
  <si>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</si>
  <si>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</si>
  <si>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</si>
  <si>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</si>
  <si>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</si>
  <si>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</si>
  <si>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</si>
  <si>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</si>
  <si>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</si>
  <si>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</si>
  <si>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</si>
  <si>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</si>
  <si>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</si>
  <si>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</si>
  <si>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</si>
  <si>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</si>
  <si>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</si>
  <si>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</si>
  <si>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</si>
  <si>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</si>
  <si>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</si>
  <si>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</si>
  <si>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</si>
  <si>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</si>
  <si>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</si>
  <si>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</si>
  <si>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</si>
  <si>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</si>
  <si>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</si>
  <si>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</si>
  <si>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</si>
  <si>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</si>
  <si>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</si>
  <si>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</si>
  <si>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</si>
  <si>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</si>
  <si>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</si>
  <si>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</si>
  <si>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</si>
  <si>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</si>
  <si>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</si>
  <si>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</si>
  <si>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</si>
  <si>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</si>
  <si>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</si>
  <si>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</si>
  <si>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</si>
  <si>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</si>
  <si>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</si>
  <si>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</si>
  <si>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</si>
  <si>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</si>
  <si>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</si>
  <si>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</si>
  <si>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</si>
  <si>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</si>
  <si>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</si>
  <si>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</si>
  <si>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</si>
  <si>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</si>
  <si>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</si>
  <si>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</si>
  <si>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</si>
  <si>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</si>
  <si>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</si>
  <si>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</si>
  <si>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</si>
  <si>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</si>
  <si>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</si>
  <si>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</si>
  <si>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CONFIRMAÇÃO PAGAMENTO</t>
  </si>
  <si>
    <t>PARAISÓPOLIS/ANTONICO</t>
  </si>
  <si>
    <t>029/0063/A</t>
  </si>
  <si>
    <t>ADELICIO DOS SANTOS PINTO</t>
  </si>
  <si>
    <t>029/0071/H</t>
  </si>
  <si>
    <t>MARIA LÚCIA ANACLETO DE SOUZA</t>
  </si>
  <si>
    <t>029/0085/F</t>
  </si>
  <si>
    <t>ORLANDO CONCEIÇÃO SANTIAGO</t>
  </si>
  <si>
    <t>031/0028/I</t>
  </si>
  <si>
    <t xml:space="preserve">WELLINGTON SANTOS SILVA </t>
  </si>
  <si>
    <t>024/0049/A</t>
  </si>
  <si>
    <t>50.515.164-9</t>
  </si>
  <si>
    <t>465.224.188-78</t>
  </si>
  <si>
    <t>024/0049/B</t>
  </si>
  <si>
    <t>53.287.750-0</t>
  </si>
  <si>
    <t>466.311.188-24</t>
  </si>
  <si>
    <t>024/0049/C</t>
  </si>
  <si>
    <t>39.750.401-9</t>
  </si>
  <si>
    <t>495.178.508-08</t>
  </si>
  <si>
    <t>024/0050/A</t>
  </si>
  <si>
    <t>38.760.115-6</t>
  </si>
  <si>
    <t>351.584.248-96</t>
  </si>
  <si>
    <t>024/0071/C</t>
  </si>
  <si>
    <t>14293532 87</t>
  </si>
  <si>
    <t>039.532.515-38</t>
  </si>
  <si>
    <t>024/0074/A</t>
  </si>
  <si>
    <t>38.246.276-2</t>
  </si>
  <si>
    <t>495.627.538-24</t>
  </si>
  <si>
    <t>024/0074/B</t>
  </si>
  <si>
    <t>35.079.616-6</t>
  </si>
  <si>
    <t>324.991.728-19</t>
  </si>
  <si>
    <t>024/0074/C</t>
  </si>
  <si>
    <t>50.430.230-9</t>
  </si>
  <si>
    <t>314.455.978-45</t>
  </si>
  <si>
    <t>024/0079/B</t>
  </si>
  <si>
    <t>63.979.050-1</t>
  </si>
  <si>
    <t>093.493.334-06</t>
  </si>
  <si>
    <t>024/0079/H</t>
  </si>
  <si>
    <t>43.855.972-1</t>
  </si>
  <si>
    <t>433.413.978-76</t>
  </si>
  <si>
    <t>024/0093/C</t>
  </si>
  <si>
    <t>58.762.209-X</t>
  </si>
  <si>
    <t>514.705.188-05</t>
  </si>
  <si>
    <t>029/0028/B</t>
  </si>
  <si>
    <t xml:space="preserve">INQUILINO </t>
  </si>
  <si>
    <t>44.939.752-X</t>
  </si>
  <si>
    <t>376.785.558-57</t>
  </si>
  <si>
    <t>029/0041/B</t>
  </si>
  <si>
    <t>38.643.264-8</t>
  </si>
  <si>
    <t>477.249.348-43</t>
  </si>
  <si>
    <t>029/0046/B</t>
  </si>
  <si>
    <t>52.951.245-2</t>
  </si>
  <si>
    <t>553.783.358-17</t>
  </si>
  <si>
    <t>029/0062/A</t>
  </si>
  <si>
    <t>39.617.390-1</t>
  </si>
  <si>
    <t>507.200.218-71</t>
  </si>
  <si>
    <t>029/0062/B</t>
  </si>
  <si>
    <t>39.616.531-X</t>
  </si>
  <si>
    <t>468.122.748-01</t>
  </si>
  <si>
    <t>031/0034/F</t>
  </si>
  <si>
    <t>56.704.987-5</t>
  </si>
  <si>
    <t>007.748.893-81</t>
  </si>
  <si>
    <t>029/0023/B</t>
  </si>
  <si>
    <t>FRANCISCO WILLIAN GOMES DO NASCIMENTO</t>
  </si>
  <si>
    <t>58.276.710-6</t>
  </si>
  <si>
    <t>519.576.918-40</t>
  </si>
  <si>
    <t>029/0036/G</t>
  </si>
  <si>
    <t>JANAINA SANTOS DE MELO</t>
  </si>
  <si>
    <t>52.949.011-0</t>
  </si>
  <si>
    <t>417.618.098-65</t>
  </si>
  <si>
    <t>029/0036/H</t>
  </si>
  <si>
    <t>DJAILSON FREITAS DE LIMA</t>
  </si>
  <si>
    <t>57.410.954-7</t>
  </si>
  <si>
    <t>105.534.934-00</t>
  </si>
  <si>
    <t>029/0043/B</t>
  </si>
  <si>
    <t>MARIVANEIDE MOREIRA SILVA</t>
  </si>
  <si>
    <t>50.175.775-2</t>
  </si>
  <si>
    <t>371.473.818-58</t>
  </si>
  <si>
    <t>029/0049/A</t>
  </si>
  <si>
    <t>FLAVIA SANTOS SOUZA</t>
  </si>
  <si>
    <t>49.345.172-9</t>
  </si>
  <si>
    <t>435.377.298-80</t>
  </si>
  <si>
    <t>029/0055/A</t>
  </si>
  <si>
    <t>GLEICON CARLOS CESAR GOMES</t>
  </si>
  <si>
    <t>49.183.499-8</t>
  </si>
  <si>
    <t>344.351.508-83</t>
  </si>
  <si>
    <t>029/0056/A</t>
  </si>
  <si>
    <t>MARIA GERLANE DE SOUZA BOÍBA</t>
  </si>
  <si>
    <t>57.816.422-X</t>
  </si>
  <si>
    <t>494.665.018-01</t>
  </si>
  <si>
    <t>029/0056/B</t>
  </si>
  <si>
    <t>MAICO JONHATAS ALVARES PINTO</t>
  </si>
  <si>
    <t>53.032.399-0</t>
  </si>
  <si>
    <t>428.355.978-40</t>
  </si>
  <si>
    <t>41.041.836-5</t>
  </si>
  <si>
    <t>353.178.248-77</t>
  </si>
  <si>
    <t>024/0041/D</t>
  </si>
  <si>
    <t>MARICÉLIA OLIMPIO DE OLIVEIRA</t>
  </si>
  <si>
    <t>024/0069/A</t>
  </si>
  <si>
    <t>LOURISMAR LIMA BRAGA</t>
  </si>
  <si>
    <t>6014.2022/0002993-4</t>
  </si>
  <si>
    <t>6014.2022/0003157-2</t>
  </si>
  <si>
    <t>6014.2022/0002667-6</t>
  </si>
  <si>
    <t>** NOVO PROCEDIMENTO **</t>
  </si>
  <si>
    <t>SITUAÇÃO                                  INICIAL IMÓVEL</t>
  </si>
  <si>
    <t>SOLICITAÇÃO                                                    AUXÍLIO ALUGUEL ÁREA</t>
  </si>
  <si>
    <t>No PROCESSO SEI                           (AUXÍLIO ALUGUEL)</t>
  </si>
  <si>
    <t xml:space="preserve">SOLICITAÇÃO                                          AUXÍLIO ALUGUEL DTS </t>
  </si>
  <si>
    <t>ASSINATURA                            GABINETE</t>
  </si>
  <si>
    <t>DATA PUBLICAÇÃO                     DIÁRIO OFICIAL</t>
  </si>
  <si>
    <t>PREVISÃO                 PAGAMENTO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</si>
  <si>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</si>
  <si>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</si>
  <si>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</si>
  <si>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</si>
  <si>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RRT                                                                                     TERMO ENTREGA CHAVES</t>
  </si>
  <si>
    <t>27.717269-X</t>
  </si>
  <si>
    <t>DOSSIÊ PENDENTE</t>
  </si>
  <si>
    <t>AGUARDANDO ENCAMINHAMENTO</t>
  </si>
  <si>
    <t>AA PENDENTE - INDENIZAÇÃO EM ANDAMENTO</t>
  </si>
  <si>
    <t>SE(A2-A3=0;"";A2-A3)</t>
  </si>
  <si>
    <t>ELENILDA RIBEIRO SANTOS</t>
  </si>
  <si>
    <t>INDENIZAÇÃO EM ANDAMENTO</t>
  </si>
  <si>
    <t>MARIA DO CARMO SANTOS</t>
  </si>
  <si>
    <t>ELIANE BARBOSA RIBEIRO</t>
  </si>
  <si>
    <t>NOELIA RIBEIROI BARBOSA</t>
  </si>
  <si>
    <t>AGUARDANDO ENVIO ÁREA</t>
  </si>
  <si>
    <t>DOSSIÊ + TERMO ASSINADO MORADOR</t>
  </si>
  <si>
    <t>AGUARDANDO ASSINATURA MORADOR</t>
  </si>
  <si>
    <t>TERMO ASSINADO MORADOR</t>
  </si>
  <si>
    <t>termo de indenização, o nome e o número de CPF estão errados do Sr. Danilo Augusto da Silva Santos, sendo o correto: Danilo Augusto da Silva dos Santos CPF 439.612.578-09</t>
  </si>
  <si>
    <t>32.7770.534-6</t>
  </si>
  <si>
    <t>Nome da conta bancaria ilegível e laudo consta RG 32.7770.534-6</t>
  </si>
  <si>
    <t>AA PENDENTE - INDENIZAÇÃO FINALIZADA</t>
  </si>
  <si>
    <t>VANESSA BEATRIZ SOUZA SANTOS</t>
  </si>
  <si>
    <t>44.557.726-9</t>
  </si>
  <si>
    <t>PENDENTE REGULARIZAÇÃO RF</t>
  </si>
  <si>
    <t>LUIS CAETANO</t>
  </si>
  <si>
    <t>Número do CPF está errado no Termo Indenização e no Laudo</t>
  </si>
  <si>
    <t>O Wagner Ferreira no e-mail consta como não residente e não consta cadastrado no sistema Habitasampa como não residente. Falta validar o cadastro?</t>
  </si>
  <si>
    <t>ÁGATHA ALESSANDRA DE PAULA</t>
  </si>
  <si>
    <t>10.085.479</t>
  </si>
  <si>
    <t>AA PENDENTE</t>
  </si>
  <si>
    <t>EVELINE SPINOLA SILVA</t>
  </si>
  <si>
    <t>VALOR INDENIZAÇÃO TERMO INCORRETO</t>
  </si>
  <si>
    <t>IVANISE PESSOA DE SANTANA</t>
  </si>
  <si>
    <t>ISAURA ASSIS DO NASCIMENTO</t>
  </si>
  <si>
    <t>ADRIELE PEREIRA DO SANTOS</t>
  </si>
  <si>
    <t>JOSIMAR DIAS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</si>
</sst>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[$-409]dd\-mmm\-yy;@"/>
    <numFmt numFmtId="169" formatCode="dd/mm/yy;@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</font>
    <font>
      <sz val="11"/>
      <name val="Arial"/>
    </font>
    <font>
      <b/>
      <sz val="11"/>
      <color indexed="8"/>
      <name val="Arial"/>
    </font>
    <font>
      <b/>
      <sz val="11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4"/>
      <color indexed="9"/>
      <name val="Arial"/>
    </font>
    <font>
      <b/>
      <sz val="14"/>
      <color indexed="8"/>
      <name val="Arial"/>
    </font>
    <font>
      <b/>
      <sz val="14"/>
      <color rgb="FFFFFFFF"/>
      <name val="Arial"/>
    </font>
    <font>
      <sz val="10"/>
      <color theme="1"/>
      <name val="Arial"/>
    </font>
    <font>
      <sz val="9"/>
      <color theme="1"/>
      <name val="Arial"/>
    </font>
    <font>
      <sz val="14"/>
      <color rgb="FFFFFFFF"/>
      <name val="Arial"/>
    </font>
    <font>
      <sz val="11"/>
      <color theme="1"/>
      <name val="Arial"/>
    </font>
    <font>
      <b/>
      <sz val="11"/>
      <color rgb="FF000000"/>
      <name val="Arial"/>
      <charset val="1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rgb="FF000000"/>
      <name val="Arial"/>
      <family val="2"/>
    </font>
    <font>
      <sz val="8"/>
      <color rgb="FF000000"/>
      <name val="Arial"/>
    </font>
    <font>
      <sz val="9"/>
      <name val="Arial"/>
    </font>
    <font>
      <b/>
      <sz val="11"/>
      <color theme="1"/>
      <name val="Arial"/>
    </font>
    <font>
      <sz val="14"/>
      <color indexed="8"/>
      <name val="Arial"/>
    </font>
    <font>
      <sz val="9"/>
      <color rgb="FF000000"/>
      <name val="Arial"/>
      <family val="2"/>
    </font>
    <font>
      <b/>
      <sz val="8"/>
      <color rgb="FF000000"/>
      <name val="Arial"/>
    </font>
    <font>
      <b/>
      <sz val="8"/>
      <name val="Arial"/>
    </font>
    <font>
      <sz val="8"/>
      <color rgb="FF000000"/>
      <name val="Arial"/>
      <family val="2"/>
    </font>
    <font>
      <b/>
      <sz val="11"/>
      <color rgb="FF202124"/>
      <name val="Arial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indexed="9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2"/>
      <color rgb="FFFF0000"/>
      <name val="Arial"/>
    </font>
    <font>
      <b/>
      <sz val="16"/>
      <color theme="0"/>
      <name val="Arial"/>
    </font>
    <font>
      <sz val="12"/>
      <color rgb="FF000000"/>
      <name val="Calibri"/>
      <family val="2"/>
    </font>
    <font>
      <b/>
      <sz val="12"/>
      <color theme="1"/>
      <name val="Arial"/>
    </font>
    <font>
      <sz val="9"/>
      <color indexed="8"/>
      <name val="Arial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b/>
      <sz val="12"/>
      <color theme="0"/>
      <name val="Arial"/>
    </font>
    <font>
      <sz val="9"/>
      <color rgb="FF000000"/>
      <name val="Arial"/>
      <charset val="1"/>
    </font>
    <font>
      <b/>
      <sz val="9"/>
      <color rgb="FFFF0000"/>
      <name val="Arial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sz val="10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C9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</borders>
  <cellStyleXfs count="51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4" fillId="0" borderId="0" applyNumberFormat="0" applyFill="0" applyBorder="0" applyAlignment="0" applyProtection="0"/>
  </cellStyleXfs>
  <cellXfs count="384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3" fillId="20" borderId="10" xfId="0" applyFont="1" applyFill="1" applyBorder="1" applyAlignment="1">
      <alignment horizontal="center" vertical="center"/>
    </xf>
    <xf numFmtId="0" fontId="31" fillId="11" borderId="11" xfId="1" applyFont="1" applyFill="1" applyBorder="1" applyAlignment="1">
      <alignment horizontal="center" vertical="center" wrapText="1"/>
    </xf>
    <xf numFmtId="0" fontId="31" fillId="11" borderId="11" xfId="0" applyFont="1" applyFill="1" applyBorder="1" applyAlignment="1">
      <alignment horizontal="center" vertical="center" wrapText="1"/>
    </xf>
    <xf numFmtId="0" fontId="31" fillId="16" borderId="11" xfId="0" applyFont="1" applyFill="1" applyBorder="1" applyAlignment="1">
      <alignment horizontal="center" vertical="center" wrapText="1"/>
    </xf>
    <xf numFmtId="0" fontId="31" fillId="17" borderId="11" xfId="0" applyFont="1" applyFill="1" applyBorder="1" applyAlignment="1">
      <alignment horizontal="center" vertical="center" wrapText="1"/>
    </xf>
    <xf numFmtId="0" fontId="31" fillId="17" borderId="11" xfId="1" applyFont="1" applyFill="1" applyBorder="1" applyAlignment="1">
      <alignment horizontal="center" vertical="center" wrapText="1"/>
    </xf>
    <xf numFmtId="0" fontId="31" fillId="17" borderId="14" xfId="0" applyFont="1" applyFill="1" applyBorder="1" applyAlignment="1">
      <alignment horizontal="center" vertical="center" wrapText="1"/>
    </xf>
    <xf numFmtId="0" fontId="31" fillId="18" borderId="12" xfId="0" applyFont="1" applyFill="1" applyBorder="1" applyAlignment="1">
      <alignment horizontal="center" vertical="center"/>
    </xf>
    <xf numFmtId="0" fontId="31" fillId="18" borderId="14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33" fillId="24" borderId="10" xfId="0" applyFont="1" applyFill="1" applyBorder="1" applyAlignment="1">
      <alignment horizontal="center" vertical="center"/>
    </xf>
    <xf numFmtId="0" fontId="32" fillId="24" borderId="1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23" borderId="0" xfId="0" applyFont="1" applyFill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4" fontId="42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14" fontId="42" fillId="0" borderId="18" xfId="0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/>
    </xf>
    <xf numFmtId="0" fontId="33" fillId="20" borderId="16" xfId="0" applyFont="1" applyFill="1" applyBorder="1" applyAlignment="1">
      <alignment horizontal="center" vertical="center"/>
    </xf>
    <xf numFmtId="0" fontId="42" fillId="21" borderId="9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21" borderId="19" xfId="0" applyFont="1" applyFill="1" applyBorder="1" applyAlignment="1">
      <alignment horizontal="center" vertical="center"/>
    </xf>
    <xf numFmtId="0" fontId="33" fillId="21" borderId="19" xfId="0" applyFont="1" applyFill="1" applyBorder="1" applyAlignment="1">
      <alignment horizontal="center" vertical="center"/>
    </xf>
    <xf numFmtId="166" fontId="33" fillId="0" borderId="19" xfId="0" applyNumberFormat="1" applyFont="1" applyBorder="1" applyAlignment="1">
      <alignment horizontal="center" vertical="center"/>
    </xf>
    <xf numFmtId="14" fontId="33" fillId="0" borderId="19" xfId="0" applyNumberFormat="1" applyFont="1" applyBorder="1" applyAlignment="1">
      <alignment horizontal="center" vertical="center"/>
    </xf>
    <xf numFmtId="165" fontId="31" fillId="0" borderId="19" xfId="0" applyNumberFormat="1" applyFont="1" applyBorder="1" applyAlignment="1">
      <alignment horizontal="center" vertical="center"/>
    </xf>
    <xf numFmtId="165" fontId="33" fillId="0" borderId="19" xfId="0" applyNumberFormat="1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1" fontId="33" fillId="0" borderId="19" xfId="0" applyNumberFormat="1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0" fontId="33" fillId="12" borderId="19" xfId="0" applyFont="1" applyFill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/>
    </xf>
    <xf numFmtId="0" fontId="33" fillId="25" borderId="19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left" vertical="center" wrapText="1"/>
    </xf>
    <xf numFmtId="0" fontId="33" fillId="25" borderId="19" xfId="0" applyFont="1" applyFill="1" applyBorder="1" applyAlignment="1">
      <alignment horizontal="left" vertical="center" wrapText="1"/>
    </xf>
    <xf numFmtId="0" fontId="33" fillId="25" borderId="19" xfId="0" applyFont="1" applyFill="1" applyBorder="1" applyAlignment="1">
      <alignment horizontal="left" vertical="center"/>
    </xf>
    <xf numFmtId="0" fontId="32" fillId="21" borderId="19" xfId="0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/>
    </xf>
    <xf numFmtId="3" fontId="32" fillId="0" borderId="19" xfId="0" applyNumberFormat="1" applyFont="1" applyBorder="1" applyAlignment="1">
      <alignment horizontal="center" vertical="center"/>
    </xf>
    <xf numFmtId="0" fontId="32" fillId="22" borderId="19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165" fontId="32" fillId="0" borderId="19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33" fillId="12" borderId="19" xfId="0" applyFont="1" applyFill="1" applyBorder="1" applyAlignment="1">
      <alignment horizontal="left" vertical="center"/>
    </xf>
    <xf numFmtId="1" fontId="33" fillId="0" borderId="16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17" borderId="11" xfId="0" applyNumberFormat="1" applyFont="1" applyFill="1" applyBorder="1" applyAlignment="1">
      <alignment horizontal="center" vertical="center" wrapText="1"/>
    </xf>
    <xf numFmtId="166" fontId="28" fillId="0" borderId="19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14" fontId="45" fillId="0" borderId="18" xfId="0" applyNumberFormat="1" applyFont="1" applyBorder="1" applyAlignment="1">
      <alignment horizontal="center" vertical="center"/>
    </xf>
    <xf numFmtId="166" fontId="42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21" borderId="9" xfId="0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166" fontId="45" fillId="0" borderId="9" xfId="0" applyNumberFormat="1" applyFont="1" applyBorder="1" applyAlignment="1">
      <alignment horizontal="center" vertical="center"/>
    </xf>
    <xf numFmtId="0" fontId="50" fillId="11" borderId="9" xfId="1" applyFont="1" applyFill="1" applyBorder="1" applyAlignment="1">
      <alignment horizontal="center" vertical="center" wrapText="1"/>
    </xf>
    <xf numFmtId="0" fontId="51" fillId="17" borderId="9" xfId="0" applyFont="1" applyFill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166" fontId="42" fillId="0" borderId="18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2" fillId="11" borderId="11" xfId="1" applyFont="1" applyFill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/>
    </xf>
    <xf numFmtId="0" fontId="32" fillId="23" borderId="19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0" fillId="11" borderId="11" xfId="1" applyNumberFormat="1" applyFont="1" applyFill="1" applyBorder="1" applyAlignment="1">
      <alignment horizontal="center" vertical="center" wrapText="1"/>
    </xf>
    <xf numFmtId="0" fontId="61" fillId="11" borderId="11" xfId="1" applyFont="1" applyFill="1" applyBorder="1" applyAlignment="1">
      <alignment horizontal="center" vertical="center" wrapText="1"/>
    </xf>
    <xf numFmtId="0" fontId="61" fillId="11" borderId="11" xfId="0" applyFont="1" applyFill="1" applyBorder="1" applyAlignment="1">
      <alignment horizontal="center" vertical="center" wrapText="1"/>
    </xf>
    <xf numFmtId="0" fontId="61" fillId="16" borderId="11" xfId="0" applyFont="1" applyFill="1" applyBorder="1" applyAlignment="1">
      <alignment horizontal="center" vertical="center" wrapText="1"/>
    </xf>
    <xf numFmtId="166" fontId="61" fillId="16" borderId="11" xfId="0" applyNumberFormat="1" applyFont="1" applyFill="1" applyBorder="1" applyAlignment="1">
      <alignment horizontal="center" vertical="center" wrapText="1"/>
    </xf>
    <xf numFmtId="0" fontId="61" fillId="17" borderId="11" xfId="0" applyFont="1" applyFill="1" applyBorder="1" applyAlignment="1">
      <alignment horizontal="center" vertical="center" wrapText="1"/>
    </xf>
    <xf numFmtId="0" fontId="61" fillId="17" borderId="11" xfId="1" applyFont="1" applyFill="1" applyBorder="1" applyAlignment="1">
      <alignment horizontal="center" vertical="center" wrapText="1"/>
    </xf>
    <xf numFmtId="166" fontId="61" fillId="17" borderId="11" xfId="0" applyNumberFormat="1" applyFont="1" applyFill="1" applyBorder="1" applyAlignment="1">
      <alignment horizontal="center" vertical="center" wrapText="1"/>
    </xf>
    <xf numFmtId="0" fontId="61" fillId="17" borderId="14" xfId="0" applyFont="1" applyFill="1" applyBorder="1" applyAlignment="1">
      <alignment horizontal="center" vertical="center" wrapText="1"/>
    </xf>
    <xf numFmtId="0" fontId="61" fillId="18" borderId="12" xfId="0" applyFont="1" applyFill="1" applyBorder="1" applyAlignment="1">
      <alignment horizontal="center" vertical="center"/>
    </xf>
    <xf numFmtId="0" fontId="61" fillId="18" borderId="14" xfId="0" applyFont="1" applyFill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166" fontId="55" fillId="0" borderId="19" xfId="0" applyNumberFormat="1" applyFont="1" applyBorder="1" applyAlignment="1">
      <alignment horizontal="center" vertical="center"/>
    </xf>
    <xf numFmtId="165" fontId="55" fillId="0" borderId="19" xfId="0" applyNumberFormat="1" applyFont="1" applyBorder="1" applyAlignment="1">
      <alignment horizontal="center" vertical="center"/>
    </xf>
    <xf numFmtId="0" fontId="60" fillId="26" borderId="19" xfId="0" applyFont="1" applyFill="1" applyBorder="1" applyAlignment="1">
      <alignment horizontal="center" vertical="center"/>
    </xf>
    <xf numFmtId="0" fontId="55" fillId="27" borderId="19" xfId="0" applyFont="1" applyFill="1" applyBorder="1" applyAlignment="1">
      <alignment horizontal="center" vertical="center"/>
    </xf>
    <xf numFmtId="0" fontId="62" fillId="0" borderId="19" xfId="0" applyFont="1" applyBorder="1" applyAlignment="1">
      <alignment horizontal="center" vertical="center"/>
    </xf>
    <xf numFmtId="1" fontId="55" fillId="0" borderId="19" xfId="0" applyNumberFormat="1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55" fillId="21" borderId="19" xfId="0" applyFont="1" applyFill="1" applyBorder="1" applyAlignment="1">
      <alignment horizontal="center" vertical="center"/>
    </xf>
    <xf numFmtId="166" fontId="55" fillId="11" borderId="19" xfId="0" applyNumberFormat="1" applyFont="1" applyFill="1" applyBorder="1" applyAlignment="1">
      <alignment horizontal="center" vertical="center"/>
    </xf>
    <xf numFmtId="0" fontId="55" fillId="24" borderId="10" xfId="0" applyFont="1" applyFill="1" applyBorder="1" applyAlignment="1">
      <alignment horizontal="center" vertical="center"/>
    </xf>
    <xf numFmtId="0" fontId="55" fillId="24" borderId="16" xfId="0" applyFont="1" applyFill="1" applyBorder="1" applyAlignment="1">
      <alignment horizontal="center" vertical="center"/>
    </xf>
    <xf numFmtId="14" fontId="55" fillId="0" borderId="19" xfId="0" applyNumberFormat="1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 wrapText="1"/>
    </xf>
    <xf numFmtId="0" fontId="55" fillId="20" borderId="10" xfId="0" applyFont="1" applyFill="1" applyBorder="1" applyAlignment="1">
      <alignment horizontal="center" vertical="center"/>
    </xf>
    <xf numFmtId="0" fontId="55" fillId="20" borderId="16" xfId="0" applyFont="1" applyFill="1" applyBorder="1" applyAlignment="1">
      <alignment horizontal="center" vertical="center"/>
    </xf>
    <xf numFmtId="0" fontId="55" fillId="26" borderId="19" xfId="0" applyFont="1" applyFill="1" applyBorder="1" applyAlignment="1">
      <alignment horizontal="center" vertical="center"/>
    </xf>
    <xf numFmtId="166" fontId="55" fillId="26" borderId="19" xfId="0" applyNumberFormat="1" applyFont="1" applyFill="1" applyBorder="1" applyAlignment="1">
      <alignment horizontal="center" vertical="center"/>
    </xf>
    <xf numFmtId="165" fontId="60" fillId="0" borderId="19" xfId="0" applyNumberFormat="1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 wrapText="1"/>
    </xf>
    <xf numFmtId="0" fontId="56" fillId="0" borderId="19" xfId="0" applyFont="1" applyBorder="1" applyAlignment="1">
      <alignment horizontal="center" vertical="center"/>
    </xf>
    <xf numFmtId="166" fontId="56" fillId="0" borderId="19" xfId="0" applyNumberFormat="1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6" fillId="11" borderId="19" xfId="0" applyFont="1" applyFill="1" applyBorder="1" applyAlignment="1">
      <alignment horizontal="center" vertical="center"/>
    </xf>
    <xf numFmtId="166" fontId="56" fillId="11" borderId="19" xfId="0" applyNumberFormat="1" applyFont="1" applyFill="1" applyBorder="1" applyAlignment="1">
      <alignment horizontal="center" vertical="center"/>
    </xf>
    <xf numFmtId="0" fontId="56" fillId="0" borderId="19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/>
    </xf>
    <xf numFmtId="166" fontId="56" fillId="24" borderId="19" xfId="0" applyNumberFormat="1" applyFont="1" applyFill="1" applyBorder="1" applyAlignment="1">
      <alignment horizontal="center" vertical="center"/>
    </xf>
    <xf numFmtId="166" fontId="55" fillId="12" borderId="19" xfId="0" applyNumberFormat="1" applyFont="1" applyFill="1" applyBorder="1" applyAlignment="1">
      <alignment horizontal="center" vertical="center"/>
    </xf>
    <xf numFmtId="0" fontId="55" fillId="11" borderId="19" xfId="0" applyFont="1" applyFill="1" applyBorder="1" applyAlignment="1">
      <alignment horizontal="center" vertical="center"/>
    </xf>
    <xf numFmtId="0" fontId="61" fillId="29" borderId="14" xfId="0" applyFont="1" applyFill="1" applyBorder="1" applyAlignment="1">
      <alignment horizontal="center" vertical="center" wrapText="1"/>
    </xf>
    <xf numFmtId="167" fontId="61" fillId="29" borderId="14" xfId="0" applyNumberFormat="1" applyFont="1" applyFill="1" applyBorder="1" applyAlignment="1">
      <alignment horizontal="center" vertical="center" wrapText="1"/>
    </xf>
    <xf numFmtId="167" fontId="61" fillId="29" borderId="14" xfId="0" applyNumberFormat="1" applyFont="1" applyFill="1" applyBorder="1" applyAlignment="1">
      <alignment horizontal="center" vertical="center"/>
    </xf>
    <xf numFmtId="0" fontId="61" fillId="29" borderId="14" xfId="0" applyFont="1" applyFill="1" applyBorder="1" applyAlignment="1">
      <alignment horizontal="center" vertical="center"/>
    </xf>
    <xf numFmtId="0" fontId="56" fillId="30" borderId="19" xfId="0" applyFont="1" applyFill="1" applyBorder="1" applyAlignment="1">
      <alignment horizontal="center" vertical="center"/>
    </xf>
    <xf numFmtId="0" fontId="65" fillId="0" borderId="1" xfId="0" applyFont="1" applyBorder="1" applyAlignment="1">
      <alignment wrapText="1"/>
    </xf>
    <xf numFmtId="0" fontId="65" fillId="0" borderId="4" xfId="0" applyFont="1" applyBorder="1" applyAlignment="1">
      <alignment wrapText="1"/>
    </xf>
    <xf numFmtId="0" fontId="57" fillId="26" borderId="19" xfId="0" applyFont="1" applyFill="1" applyBorder="1" applyAlignment="1">
      <alignment horizontal="center" vertical="center"/>
    </xf>
    <xf numFmtId="0" fontId="56" fillId="26" borderId="19" xfId="0" applyFont="1" applyFill="1" applyBorder="1" applyAlignment="1">
      <alignment horizontal="center" vertical="center"/>
    </xf>
    <xf numFmtId="166" fontId="56" fillId="26" borderId="19" xfId="0" applyNumberFormat="1" applyFont="1" applyFill="1" applyBorder="1" applyAlignment="1">
      <alignment horizontal="center" vertical="center"/>
    </xf>
    <xf numFmtId="165" fontId="55" fillId="26" borderId="19" xfId="0" applyNumberFormat="1" applyFont="1" applyFill="1" applyBorder="1" applyAlignment="1">
      <alignment horizontal="center" vertical="center"/>
    </xf>
    <xf numFmtId="166" fontId="55" fillId="21" borderId="19" xfId="0" applyNumberFormat="1" applyFont="1" applyFill="1" applyBorder="1" applyAlignment="1">
      <alignment horizontal="center" vertical="center"/>
    </xf>
    <xf numFmtId="0" fontId="55" fillId="21" borderId="19" xfId="0" applyFont="1" applyFill="1" applyBorder="1" applyAlignment="1">
      <alignment horizontal="center" vertical="center" wrapText="1"/>
    </xf>
    <xf numFmtId="0" fontId="56" fillId="24" borderId="19" xfId="0" applyFont="1" applyFill="1" applyBorder="1" applyAlignment="1">
      <alignment horizontal="center" vertical="center"/>
    </xf>
    <xf numFmtId="166" fontId="55" fillId="24" borderId="19" xfId="0" applyNumberFormat="1" applyFont="1" applyFill="1" applyBorder="1" applyAlignment="1">
      <alignment horizontal="center" vertical="center"/>
    </xf>
    <xf numFmtId="0" fontId="57" fillId="24" borderId="19" xfId="0" applyFont="1" applyFill="1" applyBorder="1" applyAlignment="1">
      <alignment horizontal="center" vertical="center"/>
    </xf>
    <xf numFmtId="0" fontId="56" fillId="26" borderId="0" xfId="0" applyFont="1" applyFill="1" applyAlignment="1">
      <alignment horizontal="center" vertical="center"/>
    </xf>
    <xf numFmtId="0" fontId="56" fillId="23" borderId="19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166" fontId="42" fillId="26" borderId="9" xfId="0" applyNumberFormat="1" applyFont="1" applyFill="1" applyBorder="1" applyAlignment="1">
      <alignment horizontal="center" vertical="center"/>
    </xf>
    <xf numFmtId="166" fontId="67" fillId="11" borderId="9" xfId="0" applyNumberFormat="1" applyFont="1" applyFill="1" applyBorder="1" applyAlignment="1">
      <alignment horizontal="center" vertical="center"/>
    </xf>
    <xf numFmtId="0" fontId="42" fillId="21" borderId="18" xfId="0" applyFont="1" applyFill="1" applyBorder="1" applyAlignment="1">
      <alignment horizontal="center" vertical="center"/>
    </xf>
    <xf numFmtId="166" fontId="42" fillId="26" borderId="18" xfId="0" applyNumberFormat="1" applyFont="1" applyFill="1" applyBorder="1" applyAlignment="1">
      <alignment horizontal="center" vertical="center"/>
    </xf>
    <xf numFmtId="0" fontId="55" fillId="31" borderId="19" xfId="0" applyFont="1" applyFill="1" applyBorder="1" applyAlignment="1">
      <alignment horizontal="center" vertical="center" wrapText="1"/>
    </xf>
    <xf numFmtId="0" fontId="55" fillId="31" borderId="19" xfId="0" applyFont="1" applyFill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166" fontId="67" fillId="11" borderId="18" xfId="0" applyNumberFormat="1" applyFont="1" applyFill="1" applyBorder="1" applyAlignment="1">
      <alignment horizontal="center" vertical="center"/>
    </xf>
    <xf numFmtId="168" fontId="56" fillId="11" borderId="19" xfId="0" applyNumberFormat="1" applyFont="1" applyFill="1" applyBorder="1" applyAlignment="1">
      <alignment horizontal="center" vertical="center"/>
    </xf>
    <xf numFmtId="0" fontId="60" fillId="21" borderId="19" xfId="0" applyFont="1" applyFill="1" applyBorder="1" applyAlignment="1">
      <alignment horizontal="center" vertical="center"/>
    </xf>
    <xf numFmtId="0" fontId="60" fillId="21" borderId="19" xfId="0" applyFont="1" applyFill="1" applyBorder="1" applyAlignment="1">
      <alignment horizontal="center" vertical="center" wrapText="1"/>
    </xf>
    <xf numFmtId="0" fontId="63" fillId="0" borderId="19" xfId="0" applyFont="1" applyBorder="1" applyAlignment="1">
      <alignment horizontal="center" vertical="center"/>
    </xf>
    <xf numFmtId="0" fontId="60" fillId="11" borderId="19" xfId="0" applyFont="1" applyFill="1" applyBorder="1" applyAlignment="1">
      <alignment horizontal="center" vertical="center"/>
    </xf>
    <xf numFmtId="0" fontId="60" fillId="11" borderId="19" xfId="0" applyFont="1" applyFill="1" applyBorder="1" applyAlignment="1">
      <alignment horizontal="center" vertical="center" wrapText="1"/>
    </xf>
    <xf numFmtId="3" fontId="60" fillId="21" borderId="19" xfId="0" applyNumberFormat="1" applyFont="1" applyFill="1" applyBorder="1" applyAlignment="1">
      <alignment horizontal="center" vertical="center"/>
    </xf>
    <xf numFmtId="0" fontId="60" fillId="24" borderId="19" xfId="0" applyFont="1" applyFill="1" applyBorder="1" applyAlignment="1">
      <alignment horizontal="center" vertical="center"/>
    </xf>
    <xf numFmtId="0" fontId="55" fillId="24" borderId="19" xfId="0" applyFont="1" applyFill="1" applyBorder="1" applyAlignment="1">
      <alignment horizontal="center" vertical="center"/>
    </xf>
    <xf numFmtId="0" fontId="60" fillId="23" borderId="19" xfId="0" applyFont="1" applyFill="1" applyBorder="1" applyAlignment="1">
      <alignment horizontal="center" vertical="center"/>
    </xf>
    <xf numFmtId="0" fontId="55" fillId="12" borderId="19" xfId="0" applyFont="1" applyFill="1" applyBorder="1" applyAlignment="1">
      <alignment horizontal="center" vertical="center"/>
    </xf>
    <xf numFmtId="0" fontId="60" fillId="22" borderId="19" xfId="0" applyFont="1" applyFill="1" applyBorder="1" applyAlignment="1">
      <alignment horizontal="center" vertical="center"/>
    </xf>
    <xf numFmtId="0" fontId="68" fillId="0" borderId="19" xfId="0" applyFont="1" applyBorder="1" applyAlignment="1">
      <alignment horizontal="center" vertical="center"/>
    </xf>
    <xf numFmtId="0" fontId="60" fillId="12" borderId="19" xfId="0" applyFont="1" applyFill="1" applyBorder="1" applyAlignment="1">
      <alignment horizontal="center" vertical="center"/>
    </xf>
    <xf numFmtId="3" fontId="60" fillId="0" borderId="19" xfId="0" applyNumberFormat="1" applyFont="1" applyBorder="1" applyAlignment="1">
      <alignment horizontal="center" vertical="center"/>
    </xf>
    <xf numFmtId="0" fontId="55" fillId="12" borderId="19" xfId="0" applyFont="1" applyFill="1" applyBorder="1" applyAlignment="1">
      <alignment horizontal="center" vertical="center" wrapText="1"/>
    </xf>
    <xf numFmtId="0" fontId="55" fillId="26" borderId="19" xfId="0" applyFont="1" applyFill="1" applyBorder="1" applyAlignment="1">
      <alignment horizontal="center" vertical="center" wrapText="1"/>
    </xf>
    <xf numFmtId="0" fontId="69" fillId="0" borderId="19" xfId="0" applyFont="1" applyBorder="1" applyAlignment="1">
      <alignment horizontal="center" vertical="center"/>
    </xf>
    <xf numFmtId="166" fontId="61" fillId="11" borderId="11" xfId="0" applyNumberFormat="1" applyFont="1" applyFill="1" applyBorder="1" applyAlignment="1">
      <alignment horizontal="center" vertical="center" wrapText="1"/>
    </xf>
    <xf numFmtId="166" fontId="56" fillId="0" borderId="8" xfId="0" applyNumberFormat="1" applyFont="1" applyBorder="1" applyAlignment="1">
      <alignment horizontal="center" vertical="center"/>
    </xf>
    <xf numFmtId="165" fontId="57" fillId="0" borderId="0" xfId="0" applyNumberFormat="1" applyFont="1" applyAlignment="1">
      <alignment horizontal="center" vertical="center"/>
    </xf>
    <xf numFmtId="165" fontId="61" fillId="17" borderId="11" xfId="0" applyNumberFormat="1" applyFont="1" applyFill="1" applyBorder="1" applyAlignment="1">
      <alignment horizontal="center" vertical="center" wrapText="1"/>
    </xf>
    <xf numFmtId="165" fontId="60" fillId="21" borderId="19" xfId="0" applyNumberFormat="1" applyFont="1" applyFill="1" applyBorder="1" applyAlignment="1">
      <alignment horizontal="center" vertical="center"/>
    </xf>
    <xf numFmtId="165" fontId="60" fillId="24" borderId="19" xfId="0" applyNumberFormat="1" applyFont="1" applyFill="1" applyBorder="1" applyAlignment="1">
      <alignment horizontal="center" vertical="center"/>
    </xf>
    <xf numFmtId="165" fontId="60" fillId="26" borderId="19" xfId="0" applyNumberFormat="1" applyFont="1" applyFill="1" applyBorder="1" applyAlignment="1">
      <alignment horizontal="center" vertical="center"/>
    </xf>
    <xf numFmtId="165" fontId="57" fillId="0" borderId="19" xfId="0" applyNumberFormat="1" applyFont="1" applyBorder="1" applyAlignment="1">
      <alignment horizontal="center" vertical="center"/>
    </xf>
    <xf numFmtId="166" fontId="56" fillId="0" borderId="19" xfId="0" quotePrefix="1" applyNumberFormat="1" applyFont="1" applyBorder="1" applyAlignment="1">
      <alignment horizontal="center" vertical="center"/>
    </xf>
    <xf numFmtId="166" fontId="61" fillId="29" borderId="14" xfId="0" applyNumberFormat="1" applyFont="1" applyFill="1" applyBorder="1" applyAlignment="1">
      <alignment horizontal="center" vertical="center"/>
    </xf>
    <xf numFmtId="0" fontId="42" fillId="21" borderId="9" xfId="0" applyFont="1" applyFill="1" applyBorder="1" applyAlignment="1">
      <alignment horizontal="center" vertical="center" wrapText="1"/>
    </xf>
    <xf numFmtId="0" fontId="42" fillId="21" borderId="15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42" fillId="17" borderId="9" xfId="0" applyFont="1" applyFill="1" applyBorder="1" applyAlignment="1">
      <alignment horizontal="center" vertical="center" wrapText="1"/>
    </xf>
    <xf numFmtId="14" fontId="55" fillId="24" borderId="19" xfId="0" applyNumberFormat="1" applyFont="1" applyFill="1" applyBorder="1" applyAlignment="1">
      <alignment horizontal="center" vertical="center"/>
    </xf>
    <xf numFmtId="0" fontId="60" fillId="24" borderId="19" xfId="0" applyFont="1" applyFill="1" applyBorder="1" applyAlignment="1">
      <alignment horizontal="center" vertical="center" wrapText="1"/>
    </xf>
    <xf numFmtId="0" fontId="55" fillId="24" borderId="19" xfId="0" applyFont="1" applyFill="1" applyBorder="1" applyAlignment="1">
      <alignment horizontal="center" vertical="center" wrapText="1"/>
    </xf>
    <xf numFmtId="166" fontId="67" fillId="0" borderId="9" xfId="0" applyNumberFormat="1" applyFont="1" applyBorder="1" applyAlignment="1">
      <alignment horizontal="center" vertical="center"/>
    </xf>
    <xf numFmtId="0" fontId="71" fillId="0" borderId="9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166" fontId="67" fillId="0" borderId="18" xfId="0" applyNumberFormat="1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38" fillId="0" borderId="0" xfId="0" applyFont="1"/>
    <xf numFmtId="0" fontId="72" fillId="0" borderId="17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7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70" fillId="13" borderId="12" xfId="48" applyNumberFormat="1" applyFont="1" applyFill="1" applyBorder="1" applyAlignment="1">
      <alignment horizontal="center" vertical="center" wrapText="1"/>
    </xf>
    <xf numFmtId="166" fontId="70" fillId="13" borderId="12" xfId="48" applyNumberFormat="1" applyFont="1" applyFill="1" applyBorder="1" applyAlignment="1">
      <alignment horizontal="center" vertical="center" wrapText="1"/>
    </xf>
    <xf numFmtId="169" fontId="70" fillId="13" borderId="12" xfId="48" applyNumberFormat="1" applyFont="1" applyFill="1" applyBorder="1" applyAlignment="1">
      <alignment horizontal="center" vertical="center" wrapText="1"/>
    </xf>
    <xf numFmtId="166" fontId="57" fillId="0" borderId="0" xfId="0" applyNumberFormat="1" applyFont="1" applyAlignment="1">
      <alignment horizontal="center" vertical="center"/>
    </xf>
    <xf numFmtId="0" fontId="54" fillId="32" borderId="22" xfId="1" applyFont="1" applyFill="1" applyBorder="1" applyAlignment="1">
      <alignment horizontal="center" vertical="center" wrapText="1"/>
    </xf>
    <xf numFmtId="0" fontId="54" fillId="32" borderId="22" xfId="0" applyFont="1" applyFill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/>
    </xf>
    <xf numFmtId="0" fontId="56" fillId="0" borderId="19" xfId="0" applyFont="1" applyBorder="1" applyAlignment="1">
      <alignment horizontal="left" vertical="center"/>
    </xf>
    <xf numFmtId="166" fontId="56" fillId="33" borderId="19" xfId="0" applyNumberFormat="1" applyFont="1" applyFill="1" applyBorder="1" applyAlignment="1">
      <alignment horizontal="center" vertical="center"/>
    </xf>
    <xf numFmtId="0" fontId="56" fillId="33" borderId="19" xfId="0" applyFont="1" applyFill="1" applyBorder="1" applyAlignment="1">
      <alignment horizontal="center" vertical="center"/>
    </xf>
    <xf numFmtId="0" fontId="55" fillId="33" borderId="19" xfId="0" applyFont="1" applyFill="1" applyBorder="1" applyAlignment="1">
      <alignment horizontal="center" vertical="center"/>
    </xf>
    <xf numFmtId="0" fontId="60" fillId="33" borderId="19" xfId="0" applyFont="1" applyFill="1" applyBorder="1" applyAlignment="1">
      <alignment horizontal="center" vertical="center"/>
    </xf>
    <xf numFmtId="0" fontId="73" fillId="33" borderId="19" xfId="0" applyFont="1" applyFill="1" applyBorder="1" applyAlignment="1">
      <alignment horizontal="center" vertical="center"/>
    </xf>
    <xf numFmtId="166" fontId="55" fillId="33" borderId="19" xfId="0" applyNumberFormat="1" applyFont="1" applyFill="1" applyBorder="1" applyAlignment="1">
      <alignment horizontal="center" vertical="center"/>
    </xf>
    <xf numFmtId="165" fontId="60" fillId="33" borderId="19" xfId="0" applyNumberFormat="1" applyFont="1" applyFill="1" applyBorder="1" applyAlignment="1">
      <alignment horizontal="center" vertical="center"/>
    </xf>
    <xf numFmtId="0" fontId="57" fillId="33" borderId="19" xfId="0" applyFont="1" applyFill="1" applyBorder="1" applyAlignment="1">
      <alignment horizontal="center" vertical="center"/>
    </xf>
    <xf numFmtId="1" fontId="55" fillId="33" borderId="19" xfId="0" applyNumberFormat="1" applyFont="1" applyFill="1" applyBorder="1" applyAlignment="1">
      <alignment horizontal="center" vertical="center"/>
    </xf>
    <xf numFmtId="0" fontId="62" fillId="33" borderId="19" xfId="0" applyFont="1" applyFill="1" applyBorder="1" applyAlignment="1">
      <alignment horizontal="center" vertical="center"/>
    </xf>
    <xf numFmtId="0" fontId="54" fillId="11" borderId="11" xfId="1" applyFont="1" applyFill="1" applyBorder="1" applyAlignment="1">
      <alignment horizontal="center" vertical="center" wrapText="1"/>
    </xf>
    <xf numFmtId="0" fontId="54" fillId="17" borderId="11" xfId="0" applyFont="1" applyFill="1" applyBorder="1" applyAlignment="1">
      <alignment horizontal="center" vertical="center" wrapText="1"/>
    </xf>
    <xf numFmtId="0" fontId="54" fillId="17" borderId="14" xfId="0" applyFont="1" applyFill="1" applyBorder="1" applyAlignment="1">
      <alignment horizontal="center" vertical="center" wrapText="1"/>
    </xf>
    <xf numFmtId="0" fontId="75" fillId="26" borderId="9" xfId="0" applyFont="1" applyFill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166" fontId="75" fillId="0" borderId="9" xfId="0" applyNumberFormat="1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166" fontId="75" fillId="0" borderId="18" xfId="0" applyNumberFormat="1" applyFont="1" applyBorder="1" applyAlignment="1">
      <alignment horizontal="center" vertical="center"/>
    </xf>
    <xf numFmtId="0" fontId="75" fillId="26" borderId="18" xfId="0" applyFont="1" applyFill="1" applyBorder="1" applyAlignment="1">
      <alignment horizontal="center" vertical="center"/>
    </xf>
    <xf numFmtId="0" fontId="42" fillId="26" borderId="9" xfId="0" applyFont="1" applyFill="1" applyBorder="1" applyAlignment="1">
      <alignment horizontal="center" vertical="center"/>
    </xf>
    <xf numFmtId="0" fontId="60" fillId="33" borderId="23" xfId="0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0" fillId="0" borderId="26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33" borderId="24" xfId="0" applyFont="1" applyFill="1" applyBorder="1" applyAlignment="1">
      <alignment horizontal="center" vertical="center"/>
    </xf>
    <xf numFmtId="0" fontId="68" fillId="33" borderId="0" xfId="0" applyFont="1" applyFill="1" applyAlignment="1">
      <alignment horizontal="center" vertical="center"/>
    </xf>
    <xf numFmtId="165" fontId="68" fillId="0" borderId="0" xfId="0" applyNumberFormat="1" applyFont="1" applyAlignment="1">
      <alignment horizontal="center" vertical="center"/>
    </xf>
    <xf numFmtId="165" fontId="68" fillId="33" borderId="0" xfId="0" applyNumberFormat="1" applyFont="1" applyFill="1" applyAlignment="1">
      <alignment horizontal="center" vertical="center"/>
    </xf>
    <xf numFmtId="0" fontId="55" fillId="0" borderId="0" xfId="5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/>
    </xf>
    <xf numFmtId="0" fontId="64" fillId="28" borderId="20" xfId="0" applyFont="1" applyFill="1" applyBorder="1" applyAlignment="1">
      <alignment horizontal="center" vertical="center" wrapText="1"/>
    </xf>
    <xf numFmtId="0" fontId="64" fillId="28" borderId="21" xfId="0" applyFont="1" applyFill="1" applyBorder="1" applyAlignment="1">
      <alignment horizontal="center" vertical="center" wrapText="1"/>
    </xf>
    <xf numFmtId="166" fontId="64" fillId="28" borderId="21" xfId="0" applyNumberFormat="1" applyFont="1" applyFill="1" applyBorder="1" applyAlignment="1">
      <alignment horizontal="center" vertical="center" wrapText="1"/>
    </xf>
    <xf numFmtId="0" fontId="59" fillId="15" borderId="12" xfId="47" applyNumberFormat="1" applyFont="1" applyFill="1" applyBorder="1" applyAlignment="1">
      <alignment horizontal="center" vertical="center" wrapText="1"/>
    </xf>
    <xf numFmtId="0" fontId="59" fillId="15" borderId="13" xfId="47" applyNumberFormat="1" applyFont="1" applyFill="1" applyBorder="1" applyAlignment="1">
      <alignment horizontal="center" vertical="center" wrapText="1"/>
    </xf>
    <xf numFmtId="0" fontId="59" fillId="14" borderId="11" xfId="47" applyNumberFormat="1" applyFont="1" applyFill="1" applyBorder="1" applyAlignment="1">
      <alignment horizontal="center" vertical="center" wrapText="1"/>
    </xf>
    <xf numFmtId="0" fontId="59" fillId="14" borderId="12" xfId="47" applyNumberFormat="1" applyFont="1" applyFill="1" applyBorder="1" applyAlignment="1">
      <alignment horizontal="center" vertical="center" wrapText="1"/>
    </xf>
    <xf numFmtId="0" fontId="59" fillId="14" borderId="13" xfId="47" applyNumberFormat="1" applyFont="1" applyFill="1" applyBorder="1" applyAlignment="1">
      <alignment horizontal="center" vertical="center" wrapText="1"/>
    </xf>
    <xf numFmtId="0" fontId="59" fillId="19" borderId="11" xfId="0" applyFont="1" applyFill="1" applyBorder="1" applyAlignment="1">
      <alignment horizontal="center" vertical="center" wrapText="1"/>
    </xf>
    <xf numFmtId="0" fontId="59" fillId="19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4" fillId="14" borderId="11" xfId="47" applyNumberFormat="1" applyFont="1" applyFill="1" applyBorder="1" applyAlignment="1">
      <alignment horizontal="center" vertical="center" wrapText="1"/>
    </xf>
    <xf numFmtId="0" fontId="34" fillId="14" borderId="12" xfId="47" applyNumberFormat="1" applyFont="1" applyFill="1" applyBorder="1" applyAlignment="1">
      <alignment horizontal="center" vertical="center" wrapText="1"/>
    </xf>
    <xf numFmtId="0" fontId="34" fillId="14" borderId="13" xfId="47" applyNumberFormat="1" applyFont="1" applyFill="1" applyBorder="1" applyAlignment="1">
      <alignment horizontal="center" vertical="center" wrapText="1"/>
    </xf>
    <xf numFmtId="0" fontId="34" fillId="15" borderId="12" xfId="47" applyNumberFormat="1" applyFont="1" applyFill="1" applyBorder="1" applyAlignment="1">
      <alignment horizontal="center" vertical="center" wrapText="1"/>
    </xf>
    <xf numFmtId="0" fontId="34" fillId="15" borderId="13" xfId="47" applyNumberFormat="1" applyFont="1" applyFill="1" applyBorder="1" applyAlignment="1">
      <alignment horizontal="center" vertical="center" wrapText="1"/>
    </xf>
    <xf numFmtId="0" fontId="39" fillId="13" borderId="12" xfId="47" applyNumberFormat="1" applyFont="1" applyFill="1" applyBorder="1" applyAlignment="1">
      <alignment horizontal="center" vertical="center" wrapText="1"/>
    </xf>
    <xf numFmtId="0" fontId="36" fillId="13" borderId="12" xfId="47" applyNumberFormat="1" applyFont="1" applyFill="1" applyBorder="1" applyAlignment="1">
      <alignment horizontal="center" vertical="center" wrapText="1"/>
    </xf>
    <xf numFmtId="166" fontId="36" fillId="13" borderId="12" xfId="47" applyNumberFormat="1" applyFont="1" applyFill="1" applyBorder="1" applyAlignment="1">
      <alignment horizontal="center" vertical="center" wrapText="1"/>
    </xf>
    <xf numFmtId="0" fontId="34" fillId="19" borderId="11" xfId="0" applyFont="1" applyFill="1" applyBorder="1" applyAlignment="1">
      <alignment horizontal="center" vertical="center" wrapText="1"/>
    </xf>
    <xf numFmtId="0" fontId="34" fillId="19" borderId="13" xfId="0" applyFont="1" applyFill="1" applyBorder="1" applyAlignment="1">
      <alignment horizontal="center" vertical="center" wrapText="1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C96"/>
      <color rgb="FFFFFF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i.prefeitura.sp.gov.br/sei/controlador.php?acao=protocolo_visualizar&amp;id_protocolo=136889982&amp;id_procedimento_atual=132668115&amp;infra_sistema=100000100&amp;infra_unidade_atual=110001116&amp;infra_hash=f29f34892ae7f169b2133c7700d13940e2a567341bc6c5e2fdd1b7fdee99e468d584a44aa49628a2283af9c86186b979b890e069c41e1059c8cdac4b7205e62b29bfdd236f424baec5dd9ad064d10e3e3863662d7ff373f72ce8306efb2cf20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F342"/>
  <sheetViews>
    <sheetView showGridLines="0" tabSelected="1" zoomScale="80" zoomScaleNormal="80" workbookViewId="0">
      <pane xSplit="6" ySplit="13" topLeftCell="AP14" activePane="bottomRight" state="frozen"/>
      <selection pane="topRight"/>
      <selection pane="bottomLeft"/>
      <selection pane="bottomRight" activeCell="AS21" sqref="AS21"/>
    </sheetView>
  </sheetViews>
  <sheetFormatPr defaultColWidth="9.140625" defaultRowHeight="24.75" customHeight="1" x14ac:dyDescent="0.25"/>
  <cols>
    <col min="1" max="1" width="10" style="194" bestFit="1" customWidth="1"/>
    <col min="2" max="2" width="22.7109375" style="195" customWidth="1"/>
    <col min="3" max="3" width="9.85546875" style="195" bestFit="1" customWidth="1"/>
    <col min="4" max="4" width="16.28515625" style="195" bestFit="1" customWidth="1"/>
    <col min="5" max="5" width="18" style="195" bestFit="1" customWidth="1"/>
    <col min="6" max="6" width="13.28515625" style="196" bestFit="1" customWidth="1"/>
    <col min="7" max="7" width="51.5703125" style="195" bestFit="1" customWidth="1"/>
    <col min="8" max="8" width="22.5703125" style="195" bestFit="1" customWidth="1"/>
    <col min="9" max="9" width="38.7109375" style="195" bestFit="1" customWidth="1"/>
    <col min="10" max="10" width="62" style="196" bestFit="1" customWidth="1"/>
    <col min="11" max="11" width="18.85546875" style="196" bestFit="1" customWidth="1"/>
    <col min="12" max="12" width="18.28515625" style="196" bestFit="1" customWidth="1"/>
    <col min="13" max="13" width="35.42578125" style="195" bestFit="1" customWidth="1"/>
    <col min="14" max="14" width="51.85546875" style="195" bestFit="1" customWidth="1"/>
    <col min="15" max="15" width="32.28515625" style="288" bestFit="1" customWidth="1"/>
    <col min="16" max="16" width="60.140625" style="195" bestFit="1" customWidth="1"/>
    <col min="17" max="17" width="55" style="195" bestFit="1" customWidth="1"/>
    <col min="18" max="18" width="74.28515625" style="195" bestFit="1" customWidth="1"/>
    <col min="19" max="21" width="53.85546875" style="195" bestFit="1" customWidth="1"/>
    <col min="22" max="22" width="27.5703125" style="195" bestFit="1" customWidth="1"/>
    <col min="23" max="23" width="30.5703125" style="195" bestFit="1" customWidth="1"/>
    <col min="24" max="24" width="31.28515625" style="195" bestFit="1" customWidth="1"/>
    <col min="25" max="25" width="18.85546875" style="195" bestFit="1" customWidth="1"/>
    <col min="26" max="26" width="22.28515625" style="238" bestFit="1" customWidth="1"/>
    <col min="27" max="27" width="84.42578125" style="195" bestFit="1" customWidth="1"/>
    <col min="28" max="28" width="62" style="196" bestFit="1" customWidth="1"/>
    <col min="29" max="29" width="18.85546875" style="196" bestFit="1" customWidth="1"/>
    <col min="30" max="30" width="18.28515625" style="196" bestFit="1" customWidth="1"/>
    <col min="31" max="31" width="38.7109375" style="195" bestFit="1" customWidth="1"/>
    <col min="32" max="32" width="38.7109375" style="195" customWidth="1"/>
    <col min="33" max="33" width="28.28515625" style="289" bestFit="1" customWidth="1"/>
    <col min="34" max="34" width="34.7109375" style="289" bestFit="1" customWidth="1"/>
    <col min="35" max="35" width="95.7109375" style="195" bestFit="1" customWidth="1"/>
    <col min="36" max="36" width="34.28515625" style="195" bestFit="1" customWidth="1"/>
    <col min="37" max="37" width="38" style="195" bestFit="1" customWidth="1"/>
    <col min="38" max="38" width="83.28515625" style="195" bestFit="1" customWidth="1"/>
    <col min="39" max="39" width="14.85546875" style="195" bestFit="1" customWidth="1"/>
    <col min="40" max="40" width="57.5703125" style="195" bestFit="1" customWidth="1"/>
    <col min="41" max="41" width="144.7109375" style="195" bestFit="1" customWidth="1"/>
    <col min="42" max="42" width="43.42578125" style="196" bestFit="1" customWidth="1"/>
    <col min="43" max="43" width="60.5703125" style="195" bestFit="1" customWidth="1"/>
    <col min="44" max="44" width="35.42578125" style="195" bestFit="1" customWidth="1"/>
    <col min="45" max="45" width="67.85546875" style="195" bestFit="1" customWidth="1"/>
    <col min="46" max="46" width="44.42578125" style="195" bestFit="1" customWidth="1"/>
    <col min="47" max="47" width="54.28515625" style="197" bestFit="1" customWidth="1"/>
    <col min="48" max="48" width="56.140625" style="195" customWidth="1"/>
    <col min="49" max="49" width="42" style="195" bestFit="1" customWidth="1"/>
    <col min="50" max="50" width="30.5703125" style="197" bestFit="1" customWidth="1"/>
    <col min="51" max="51" width="29.85546875" style="197" bestFit="1" customWidth="1"/>
    <col min="52" max="52" width="33.140625" style="238" bestFit="1" customWidth="1"/>
    <col min="53" max="53" width="34.140625" style="238" bestFit="1" customWidth="1"/>
    <col min="54" max="54" width="77.140625" style="238" bestFit="1" customWidth="1"/>
    <col min="55" max="55" width="18.140625" style="238" bestFit="1" customWidth="1"/>
    <col min="56" max="56" width="28.42578125" style="195" bestFit="1" customWidth="1"/>
    <col min="57" max="57" width="34" style="195" bestFit="1" customWidth="1"/>
    <col min="58" max="58" width="35.28515625" style="195" bestFit="1" customWidth="1"/>
    <col min="59" max="59" width="34.42578125" style="195" bestFit="1" customWidth="1"/>
    <col min="60" max="60" width="27.140625" style="195" bestFit="1" customWidth="1"/>
    <col min="61" max="61" width="59.28515625" style="195" bestFit="1" customWidth="1"/>
    <col min="62" max="62" width="45.42578125" style="195" bestFit="1" customWidth="1"/>
    <col min="63" max="63" width="31.140625" style="197" bestFit="1" customWidth="1"/>
    <col min="64" max="64" width="57.85546875" style="195" bestFit="1" customWidth="1"/>
    <col min="65" max="65" width="42.7109375" style="195" bestFit="1" customWidth="1"/>
    <col min="66" max="162" width="9.140625" style="195" bestFit="1" customWidth="1"/>
    <col min="163" max="16384" width="9.140625" style="195"/>
  </cols>
  <sheetData>
    <row r="1" spans="1:120" ht="24.75" hidden="1" customHeight="1" x14ac:dyDescent="0.25">
      <c r="O1" s="197"/>
      <c r="Z1" s="195"/>
      <c r="AU1" s="195"/>
      <c r="AY1" s="195"/>
      <c r="AZ1" s="195"/>
      <c r="BA1" s="195"/>
      <c r="BB1" s="195"/>
      <c r="BC1" s="195"/>
      <c r="BK1" s="195"/>
    </row>
    <row r="2" spans="1:120" ht="24.75" hidden="1" customHeight="1" x14ac:dyDescent="0.25">
      <c r="O2" s="197"/>
      <c r="Z2" s="195"/>
      <c r="AU2" s="195"/>
      <c r="AY2" s="195"/>
      <c r="AZ2" s="195"/>
      <c r="BA2" s="195"/>
      <c r="BB2" s="195"/>
      <c r="BC2" s="195"/>
      <c r="BK2" s="195"/>
    </row>
    <row r="3" spans="1:120" ht="24.75" hidden="1" customHeight="1" x14ac:dyDescent="0.25">
      <c r="C3" s="195">
        <v>2</v>
      </c>
      <c r="D3" s="195" t="s">
        <v>0</v>
      </c>
      <c r="G3" s="195" t="s">
        <v>1</v>
      </c>
      <c r="H3" s="195" t="s">
        <v>2</v>
      </c>
      <c r="I3" s="195" t="s">
        <v>3</v>
      </c>
      <c r="M3" s="195" t="s">
        <v>4</v>
      </c>
      <c r="N3" s="195" t="s">
        <v>5</v>
      </c>
      <c r="O3" s="197"/>
      <c r="P3" s="195" t="s">
        <v>6</v>
      </c>
      <c r="R3" s="195" t="s">
        <v>6</v>
      </c>
      <c r="X3" s="195" t="s">
        <v>7</v>
      </c>
      <c r="Z3" s="195"/>
      <c r="AE3" s="195" t="s">
        <v>3</v>
      </c>
      <c r="AF3" s="195" t="s">
        <v>4</v>
      </c>
      <c r="AI3" s="195" t="s">
        <v>6</v>
      </c>
      <c r="AK3" s="195" t="s">
        <v>6</v>
      </c>
      <c r="AM3" s="195" t="s">
        <v>8</v>
      </c>
      <c r="AN3" s="195" t="s">
        <v>9</v>
      </c>
      <c r="AU3" s="195"/>
      <c r="AY3" s="195"/>
      <c r="AZ3" s="195"/>
      <c r="BA3" s="195"/>
      <c r="BB3" s="195"/>
      <c r="BC3" s="195"/>
      <c r="BK3" s="195"/>
    </row>
    <row r="4" spans="1:120" ht="24.75" hidden="1" customHeight="1" x14ac:dyDescent="0.25">
      <c r="C4" s="195">
        <v>4</v>
      </c>
      <c r="G4" s="195" t="s">
        <v>10</v>
      </c>
      <c r="H4" s="195" t="s">
        <v>11</v>
      </c>
      <c r="I4" s="195" t="s">
        <v>12</v>
      </c>
      <c r="M4" s="195" t="s">
        <v>13</v>
      </c>
      <c r="N4" s="195" t="s">
        <v>14</v>
      </c>
      <c r="O4" s="197"/>
      <c r="P4" s="195" t="s">
        <v>15</v>
      </c>
      <c r="R4" s="195" t="s">
        <v>15</v>
      </c>
      <c r="Z4" s="195"/>
      <c r="AE4" s="195" t="s">
        <v>12</v>
      </c>
      <c r="AF4" s="195" t="s">
        <v>13</v>
      </c>
      <c r="AI4" s="195" t="s">
        <v>16</v>
      </c>
      <c r="AK4" s="195" t="s">
        <v>15</v>
      </c>
      <c r="AM4" s="195" t="s">
        <v>17</v>
      </c>
      <c r="AN4" s="195" t="s">
        <v>18</v>
      </c>
      <c r="AU4" s="195"/>
      <c r="AY4" s="195"/>
      <c r="AZ4" s="195"/>
      <c r="BA4" s="195"/>
      <c r="BB4" s="195"/>
      <c r="BC4" s="195"/>
      <c r="BK4" s="195"/>
    </row>
    <row r="5" spans="1:120" ht="24.75" hidden="1" customHeight="1" x14ac:dyDescent="0.25">
      <c r="G5" s="195" t="s">
        <v>19</v>
      </c>
      <c r="H5" s="198" t="s">
        <v>20</v>
      </c>
      <c r="I5" s="195" t="s">
        <v>21</v>
      </c>
      <c r="N5" s="195" t="s">
        <v>22</v>
      </c>
      <c r="O5" s="197"/>
      <c r="Z5" s="195"/>
      <c r="AI5" s="195" t="s">
        <v>23</v>
      </c>
      <c r="AK5" s="195" t="s">
        <v>24</v>
      </c>
      <c r="AN5" s="195" t="s">
        <v>25</v>
      </c>
      <c r="AU5" s="195"/>
      <c r="AY5" s="195"/>
      <c r="AZ5" s="195"/>
      <c r="BA5" s="195"/>
      <c r="BB5" s="195"/>
      <c r="BC5" s="195"/>
      <c r="BK5" s="195"/>
    </row>
    <row r="6" spans="1:120" ht="24.75" hidden="1" customHeight="1" x14ac:dyDescent="0.25">
      <c r="G6" s="195" t="s">
        <v>26</v>
      </c>
      <c r="N6" s="195" t="s">
        <v>27</v>
      </c>
      <c r="O6" s="197"/>
      <c r="Z6" s="195"/>
      <c r="AI6" s="195" t="s">
        <v>28</v>
      </c>
      <c r="AK6" s="195" t="s">
        <v>17</v>
      </c>
      <c r="AN6" s="195" t="s">
        <v>29</v>
      </c>
      <c r="AU6" s="195"/>
      <c r="AY6" s="195"/>
      <c r="AZ6" s="195"/>
      <c r="BA6" s="195"/>
      <c r="BB6" s="195"/>
      <c r="BC6" s="195"/>
      <c r="BK6" s="195"/>
    </row>
    <row r="7" spans="1:120" ht="24.75" hidden="1" customHeight="1" x14ac:dyDescent="0.25">
      <c r="G7" s="195" t="s">
        <v>30</v>
      </c>
      <c r="O7" s="197"/>
      <c r="Z7" s="195"/>
      <c r="AU7" s="195"/>
      <c r="AY7" s="195"/>
      <c r="AZ7" s="195"/>
      <c r="BA7" s="195"/>
      <c r="BB7" s="195"/>
      <c r="BC7" s="195"/>
      <c r="BK7" s="195"/>
    </row>
    <row r="8" spans="1:120" ht="24.75" hidden="1" customHeight="1" x14ac:dyDescent="0.25">
      <c r="G8" s="195" t="s">
        <v>31</v>
      </c>
      <c r="O8" s="197"/>
      <c r="Z8" s="195"/>
      <c r="AU8" s="195"/>
      <c r="AY8" s="195"/>
      <c r="AZ8" s="195"/>
      <c r="BA8" s="195"/>
      <c r="BB8" s="195"/>
      <c r="BC8" s="195"/>
      <c r="BK8" s="195"/>
    </row>
    <row r="9" spans="1:120" ht="24.75" hidden="1" customHeight="1" x14ac:dyDescent="0.25">
      <c r="G9" s="195" t="s">
        <v>32</v>
      </c>
      <c r="O9" s="197"/>
      <c r="Z9" s="195"/>
      <c r="AU9" s="195"/>
      <c r="AY9" s="195"/>
      <c r="AZ9" s="195"/>
      <c r="BA9" s="195"/>
      <c r="BB9" s="195"/>
      <c r="BC9" s="195"/>
      <c r="BK9" s="195"/>
    </row>
    <row r="10" spans="1:120" ht="24.75" hidden="1" customHeight="1" x14ac:dyDescent="0.25">
      <c r="O10" s="197"/>
      <c r="Z10" s="195"/>
      <c r="AQ10" s="196"/>
      <c r="AR10" s="196"/>
      <c r="AS10" s="196"/>
      <c r="AT10" s="196"/>
      <c r="AU10" s="196"/>
      <c r="AV10" s="196"/>
      <c r="AW10" s="196"/>
      <c r="AZ10" s="195"/>
      <c r="BA10" s="195"/>
      <c r="BB10" s="195"/>
      <c r="BC10" s="195"/>
      <c r="BK10" s="195"/>
    </row>
    <row r="11" spans="1:120" ht="24.75" customHeight="1" x14ac:dyDescent="0.25">
      <c r="O11" s="197"/>
      <c r="Z11" s="195"/>
      <c r="AQ11" s="196"/>
      <c r="AR11" s="196"/>
      <c r="AS11" s="196"/>
      <c r="AT11" s="196"/>
      <c r="AU11" s="319"/>
      <c r="AV11" s="196"/>
      <c r="AW11" s="196"/>
      <c r="AZ11" s="195"/>
      <c r="BA11" s="195"/>
      <c r="BB11" s="195"/>
      <c r="BC11" s="195"/>
    </row>
    <row r="12" spans="1:120" s="196" customFormat="1" ht="36" customHeight="1" x14ac:dyDescent="0.25">
      <c r="A12" s="363" t="s">
        <v>33</v>
      </c>
      <c r="B12" s="364"/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364"/>
      <c r="N12" s="364"/>
      <c r="O12" s="365"/>
      <c r="P12" s="361" t="s">
        <v>34</v>
      </c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2"/>
      <c r="AB12" s="316" t="s">
        <v>35</v>
      </c>
      <c r="AC12" s="316"/>
      <c r="AD12" s="316"/>
      <c r="AE12" s="316"/>
      <c r="AF12" s="316"/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7"/>
      <c r="AV12" s="316"/>
      <c r="AW12" s="316"/>
      <c r="AX12" s="316"/>
      <c r="AY12" s="318"/>
      <c r="AZ12" s="316"/>
      <c r="BA12" s="316"/>
      <c r="BB12" s="366" t="s">
        <v>36</v>
      </c>
      <c r="BC12" s="367"/>
      <c r="BD12" s="358" t="s">
        <v>37</v>
      </c>
      <c r="BE12" s="359"/>
      <c r="BF12" s="359"/>
      <c r="BG12" s="359"/>
      <c r="BH12" s="359"/>
      <c r="BI12" s="359"/>
      <c r="BJ12" s="359"/>
      <c r="BK12" s="360"/>
      <c r="BL12" s="359"/>
      <c r="BM12" s="359"/>
    </row>
    <row r="13" spans="1:120" s="196" customFormat="1" ht="39.75" customHeight="1" x14ac:dyDescent="0.25">
      <c r="A13" s="199" t="s">
        <v>38</v>
      </c>
      <c r="B13" s="200" t="s">
        <v>39</v>
      </c>
      <c r="C13" s="200" t="s">
        <v>40</v>
      </c>
      <c r="D13" s="200" t="s">
        <v>41</v>
      </c>
      <c r="E13" s="200" t="s">
        <v>42</v>
      </c>
      <c r="F13" s="200" t="s">
        <v>43</v>
      </c>
      <c r="G13" s="200" t="s">
        <v>44</v>
      </c>
      <c r="H13" s="200" t="s">
        <v>45</v>
      </c>
      <c r="I13" s="200" t="s">
        <v>46</v>
      </c>
      <c r="J13" s="201" t="s">
        <v>47</v>
      </c>
      <c r="K13" s="201" t="s">
        <v>48</v>
      </c>
      <c r="L13" s="201" t="s">
        <v>49</v>
      </c>
      <c r="M13" s="201" t="s">
        <v>50</v>
      </c>
      <c r="N13" s="201" t="s">
        <v>51</v>
      </c>
      <c r="O13" s="287" t="s">
        <v>52</v>
      </c>
      <c r="P13" s="202" t="s">
        <v>53</v>
      </c>
      <c r="Q13" s="202" t="s">
        <v>54</v>
      </c>
      <c r="R13" s="203" t="s">
        <v>55</v>
      </c>
      <c r="S13" s="203" t="s">
        <v>56</v>
      </c>
      <c r="T13" s="203" t="s">
        <v>57</v>
      </c>
      <c r="U13" s="202" t="s">
        <v>58</v>
      </c>
      <c r="V13" s="202" t="s">
        <v>59</v>
      </c>
      <c r="W13" s="202" t="s">
        <v>60</v>
      </c>
      <c r="X13" s="202" t="s">
        <v>61</v>
      </c>
      <c r="Y13" s="202" t="s">
        <v>62</v>
      </c>
      <c r="Z13" s="202" t="s">
        <v>63</v>
      </c>
      <c r="AA13" s="202" t="s">
        <v>64</v>
      </c>
      <c r="AB13" s="204" t="s">
        <v>65</v>
      </c>
      <c r="AC13" s="204" t="s">
        <v>48</v>
      </c>
      <c r="AD13" s="204" t="s">
        <v>49</v>
      </c>
      <c r="AE13" s="205" t="s">
        <v>66</v>
      </c>
      <c r="AF13" s="204" t="s">
        <v>67</v>
      </c>
      <c r="AG13" s="290" t="s">
        <v>68</v>
      </c>
      <c r="AH13" s="290" t="s">
        <v>69</v>
      </c>
      <c r="AI13" s="204" t="s">
        <v>70</v>
      </c>
      <c r="AJ13" s="204" t="s">
        <v>71</v>
      </c>
      <c r="AK13" s="204" t="s">
        <v>72</v>
      </c>
      <c r="AL13" s="204" t="s">
        <v>73</v>
      </c>
      <c r="AM13" s="204" t="s">
        <v>74</v>
      </c>
      <c r="AN13" s="204" t="s">
        <v>75</v>
      </c>
      <c r="AO13" s="204" t="s">
        <v>76</v>
      </c>
      <c r="AP13" s="204" t="s">
        <v>77</v>
      </c>
      <c r="AQ13" s="204" t="s">
        <v>78</v>
      </c>
      <c r="AR13" s="204" t="s">
        <v>79</v>
      </c>
      <c r="AS13" s="204" t="s">
        <v>80</v>
      </c>
      <c r="AT13" s="204" t="s">
        <v>81</v>
      </c>
      <c r="AU13" s="206" t="s">
        <v>82</v>
      </c>
      <c r="AV13" s="204" t="s">
        <v>83</v>
      </c>
      <c r="AW13" s="204" t="s">
        <v>84</v>
      </c>
      <c r="AX13" s="206" t="s">
        <v>61</v>
      </c>
      <c r="AY13" s="206" t="s">
        <v>85</v>
      </c>
      <c r="AZ13" s="204" t="s">
        <v>86</v>
      </c>
      <c r="BA13" s="207" t="s">
        <v>87</v>
      </c>
      <c r="BB13" s="208" t="s">
        <v>88</v>
      </c>
      <c r="BC13" s="209" t="s">
        <v>89</v>
      </c>
      <c r="BD13" s="242" t="s">
        <v>90</v>
      </c>
      <c r="BE13" s="242" t="s">
        <v>91</v>
      </c>
      <c r="BF13" s="242" t="s">
        <v>92</v>
      </c>
      <c r="BG13" s="243" t="s">
        <v>93</v>
      </c>
      <c r="BH13" s="244" t="s">
        <v>94</v>
      </c>
      <c r="BI13" s="242" t="s">
        <v>95</v>
      </c>
      <c r="BJ13" s="245" t="s">
        <v>81</v>
      </c>
      <c r="BK13" s="296" t="s">
        <v>96</v>
      </c>
      <c r="BL13" s="242" t="s">
        <v>97</v>
      </c>
      <c r="BM13" s="245" t="s">
        <v>98</v>
      </c>
    </row>
    <row r="14" spans="1:120" s="211" customFormat="1" ht="35.25" customHeight="1" x14ac:dyDescent="0.25">
      <c r="A14" s="210">
        <v>1</v>
      </c>
      <c r="B14" s="210" t="s">
        <v>99</v>
      </c>
      <c r="C14" s="210">
        <v>1</v>
      </c>
      <c r="D14" s="210">
        <v>0</v>
      </c>
      <c r="E14" s="210">
        <v>0</v>
      </c>
      <c r="F14" s="219" t="s">
        <v>100</v>
      </c>
      <c r="G14" s="210" t="s">
        <v>1</v>
      </c>
      <c r="H14" s="210" t="s">
        <v>20</v>
      </c>
      <c r="I14" s="210" t="s">
        <v>12</v>
      </c>
      <c r="J14" s="219" t="s">
        <v>101</v>
      </c>
      <c r="K14" s="219" t="s">
        <v>102</v>
      </c>
      <c r="L14" s="219" t="s">
        <v>103</v>
      </c>
      <c r="M14" s="210" t="s">
        <v>4</v>
      </c>
      <c r="N14" s="210" t="s">
        <v>5</v>
      </c>
      <c r="O14" s="213">
        <v>44900</v>
      </c>
      <c r="P14" s="213" t="s">
        <v>24</v>
      </c>
      <c r="Q14" s="213" t="s">
        <v>24</v>
      </c>
      <c r="R14" s="213" t="s">
        <v>24</v>
      </c>
      <c r="S14" s="213" t="s">
        <v>24</v>
      </c>
      <c r="T14" s="213" t="s">
        <v>24</v>
      </c>
      <c r="U14" s="213" t="s">
        <v>24</v>
      </c>
      <c r="V14" s="213" t="s">
        <v>24</v>
      </c>
      <c r="W14" s="213" t="s">
        <v>24</v>
      </c>
      <c r="X14" s="213" t="s">
        <v>24</v>
      </c>
      <c r="Y14" s="213" t="s">
        <v>24</v>
      </c>
      <c r="Z14" s="213" t="s">
        <v>24</v>
      </c>
      <c r="AA14" s="210"/>
      <c r="AB14" s="219" t="s">
        <v>101</v>
      </c>
      <c r="AC14" s="219" t="s">
        <v>102</v>
      </c>
      <c r="AD14" s="219" t="s">
        <v>103</v>
      </c>
      <c r="AE14" s="210" t="s">
        <v>12</v>
      </c>
      <c r="AF14" s="210" t="s">
        <v>4</v>
      </c>
      <c r="AG14" s="230">
        <v>39200</v>
      </c>
      <c r="AH14" s="230">
        <v>60000</v>
      </c>
      <c r="AI14" s="214" t="s">
        <v>6</v>
      </c>
      <c r="AJ14" s="230" t="s">
        <v>104</v>
      </c>
      <c r="AK14" s="210" t="s">
        <v>105</v>
      </c>
      <c r="AL14" s="210" t="s">
        <v>105</v>
      </c>
      <c r="AM14" s="210" t="s">
        <v>105</v>
      </c>
      <c r="AN14" s="210" t="s">
        <v>106</v>
      </c>
      <c r="AO14" s="210"/>
      <c r="AP14" s="215" t="s">
        <v>107</v>
      </c>
      <c r="AQ14" s="210" t="s">
        <v>105</v>
      </c>
      <c r="AR14" s="210" t="s">
        <v>105</v>
      </c>
      <c r="AS14" s="210" t="s">
        <v>105</v>
      </c>
      <c r="AT14" s="210" t="s">
        <v>105</v>
      </c>
      <c r="AU14" s="213">
        <v>45104</v>
      </c>
      <c r="AV14" s="210" t="s">
        <v>105</v>
      </c>
      <c r="AW14" s="210" t="s">
        <v>105</v>
      </c>
      <c r="AX14" s="240">
        <v>45111</v>
      </c>
      <c r="AY14" s="240">
        <v>45111</v>
      </c>
      <c r="AZ14" s="253">
        <v>45124</v>
      </c>
      <c r="BA14" s="232" t="s">
        <v>30</v>
      </c>
      <c r="BB14" s="217" t="s">
        <v>105</v>
      </c>
      <c r="BC14" s="218">
        <f>IF(AY14-ON14=0,"",AY14-O14)</f>
        <v>211</v>
      </c>
      <c r="BD14" s="210" t="str">
        <f t="shared" ref="BD14:BD45" si="0">IF(AND(AI14&lt;&gt;"SIM",AI14="UH"),"AA","INDENIZAÇÃO")</f>
        <v>INDENIZAÇÃO</v>
      </c>
      <c r="BE14" s="210" t="str">
        <f t="shared" ref="BE14:BE77" si="1">IF(AND(AY14&lt;&gt;"AGUARDANDO",AY14&lt;&gt;"",N14="AUXÍLIO ALUGUEL ATÉ INDENIZAÇÃO"),"SIM","NÃO")</f>
        <v>NÃO</v>
      </c>
      <c r="BF14" s="210" t="s">
        <v>24</v>
      </c>
      <c r="BG14" s="210" t="s">
        <v>24</v>
      </c>
      <c r="BH14" s="210" t="s">
        <v>24</v>
      </c>
      <c r="BI14" s="210" t="s">
        <v>105</v>
      </c>
      <c r="BJ14" s="210" t="s">
        <v>105</v>
      </c>
      <c r="BK14" s="253">
        <v>45190</v>
      </c>
      <c r="BL14" s="210" t="s">
        <v>105</v>
      </c>
      <c r="BM14" s="266" t="s">
        <v>105</v>
      </c>
      <c r="BN14" s="210"/>
      <c r="BO14" s="210"/>
      <c r="BP14" s="210"/>
      <c r="BQ14" s="210"/>
      <c r="BR14" s="210"/>
      <c r="BS14" s="210"/>
      <c r="BT14" s="210"/>
      <c r="BU14" s="210"/>
      <c r="BV14" s="210"/>
      <c r="BW14" s="210"/>
      <c r="BX14" s="210"/>
      <c r="BY14" s="210"/>
      <c r="BZ14" s="212"/>
      <c r="DP14" s="212"/>
    </row>
    <row r="15" spans="1:120" s="211" customFormat="1" ht="35.25" hidden="1" customHeight="1" x14ac:dyDescent="0.25">
      <c r="A15" s="210">
        <v>2</v>
      </c>
      <c r="B15" s="210" t="s">
        <v>99</v>
      </c>
      <c r="C15" s="210">
        <v>1</v>
      </c>
      <c r="D15" s="210">
        <v>0</v>
      </c>
      <c r="E15" s="210">
        <v>0</v>
      </c>
      <c r="F15" s="219" t="s">
        <v>108</v>
      </c>
      <c r="G15" s="210" t="s">
        <v>1</v>
      </c>
      <c r="H15" s="210" t="s">
        <v>2</v>
      </c>
      <c r="I15" s="210" t="s">
        <v>12</v>
      </c>
      <c r="J15" s="219" t="s">
        <v>101</v>
      </c>
      <c r="K15" s="219" t="s">
        <v>102</v>
      </c>
      <c r="L15" s="219" t="s">
        <v>103</v>
      </c>
      <c r="M15" s="210" t="s">
        <v>4</v>
      </c>
      <c r="N15" s="210" t="s">
        <v>109</v>
      </c>
      <c r="O15" s="213">
        <v>44900</v>
      </c>
      <c r="P15" s="213" t="s">
        <v>24</v>
      </c>
      <c r="Q15" s="213" t="s">
        <v>24</v>
      </c>
      <c r="R15" s="213" t="s">
        <v>24</v>
      </c>
      <c r="S15" s="213" t="s">
        <v>24</v>
      </c>
      <c r="T15" s="213" t="s">
        <v>24</v>
      </c>
      <c r="U15" s="213" t="s">
        <v>24</v>
      </c>
      <c r="V15" s="213" t="s">
        <v>24</v>
      </c>
      <c r="W15" s="213" t="s">
        <v>24</v>
      </c>
      <c r="X15" s="213" t="s">
        <v>24</v>
      </c>
      <c r="Y15" s="213" t="s">
        <v>24</v>
      </c>
      <c r="Z15" s="213" t="s">
        <v>24</v>
      </c>
      <c r="AA15" s="210" t="s">
        <v>109</v>
      </c>
      <c r="AB15" s="219" t="s">
        <v>101</v>
      </c>
      <c r="AC15" s="219" t="s">
        <v>102</v>
      </c>
      <c r="AD15" s="219" t="s">
        <v>103</v>
      </c>
      <c r="AE15" s="210" t="s">
        <v>12</v>
      </c>
      <c r="AF15" s="210" t="s">
        <v>24</v>
      </c>
      <c r="AG15" s="230">
        <v>0</v>
      </c>
      <c r="AH15" s="230">
        <v>0</v>
      </c>
      <c r="AI15" s="210" t="s">
        <v>109</v>
      </c>
      <c r="AJ15" s="230" t="s">
        <v>104</v>
      </c>
      <c r="AK15" s="210" t="s">
        <v>24</v>
      </c>
      <c r="AL15" s="210" t="s">
        <v>24</v>
      </c>
      <c r="AM15" s="210" t="s">
        <v>24</v>
      </c>
      <c r="AN15" s="210" t="s">
        <v>24</v>
      </c>
      <c r="AO15" s="210" t="s">
        <v>109</v>
      </c>
      <c r="AP15" s="219" t="s">
        <v>24</v>
      </c>
      <c r="AQ15" s="210" t="s">
        <v>24</v>
      </c>
      <c r="AR15" s="210" t="s">
        <v>24</v>
      </c>
      <c r="AS15" s="210" t="s">
        <v>24</v>
      </c>
      <c r="AT15" s="210" t="s">
        <v>24</v>
      </c>
      <c r="AU15" s="210" t="s">
        <v>24</v>
      </c>
      <c r="AV15" s="210" t="s">
        <v>24</v>
      </c>
      <c r="AW15" s="210" t="s">
        <v>24</v>
      </c>
      <c r="AX15" s="210" t="s">
        <v>24</v>
      </c>
      <c r="AY15" s="210" t="s">
        <v>24</v>
      </c>
      <c r="AZ15" s="210" t="s">
        <v>24</v>
      </c>
      <c r="BA15" s="210" t="s">
        <v>24</v>
      </c>
      <c r="BB15" s="217" t="s">
        <v>105</v>
      </c>
      <c r="BC15" s="218" t="s">
        <v>24</v>
      </c>
      <c r="BD15" s="210" t="str">
        <f t="shared" si="0"/>
        <v>INDENIZAÇÃO</v>
      </c>
      <c r="BE15" s="210" t="str">
        <f t="shared" si="1"/>
        <v>NÃO</v>
      </c>
      <c r="BF15" s="210" t="s">
        <v>24</v>
      </c>
      <c r="BG15" s="210" t="s">
        <v>24</v>
      </c>
      <c r="BH15" s="210" t="s">
        <v>24</v>
      </c>
      <c r="BI15" s="210" t="s">
        <v>24</v>
      </c>
      <c r="BJ15" s="210" t="s">
        <v>24</v>
      </c>
      <c r="BK15" s="210" t="s">
        <v>24</v>
      </c>
      <c r="BL15" s="210" t="s">
        <v>24</v>
      </c>
      <c r="BM15" s="251" t="s">
        <v>105</v>
      </c>
      <c r="BN15" s="210"/>
      <c r="BO15" s="210"/>
      <c r="BP15" s="210"/>
      <c r="BQ15" s="210"/>
      <c r="BR15" s="210"/>
      <c r="BS15" s="210"/>
      <c r="BT15" s="210"/>
      <c r="BU15" s="210"/>
      <c r="BV15" s="210"/>
      <c r="BW15" s="210"/>
      <c r="BX15" s="210"/>
      <c r="BY15" s="210"/>
      <c r="BZ15" s="212"/>
      <c r="DP15" s="212"/>
    </row>
    <row r="16" spans="1:120" s="211" customFormat="1" ht="35.25" hidden="1" customHeight="1" x14ac:dyDescent="0.25">
      <c r="A16" s="210">
        <v>3</v>
      </c>
      <c r="B16" s="210" t="s">
        <v>99</v>
      </c>
      <c r="C16" s="220">
        <v>1</v>
      </c>
      <c r="D16" s="210">
        <v>0</v>
      </c>
      <c r="E16" s="210">
        <v>0</v>
      </c>
      <c r="F16" s="270" t="s">
        <v>110</v>
      </c>
      <c r="G16" s="220" t="s">
        <v>1</v>
      </c>
      <c r="H16" s="220" t="s">
        <v>2</v>
      </c>
      <c r="I16" s="210" t="s">
        <v>12</v>
      </c>
      <c r="J16" s="270" t="s">
        <v>111</v>
      </c>
      <c r="K16" s="270" t="s">
        <v>112</v>
      </c>
      <c r="L16" s="270" t="s">
        <v>113</v>
      </c>
      <c r="M16" s="220" t="s">
        <v>4</v>
      </c>
      <c r="N16" s="220" t="s">
        <v>14</v>
      </c>
      <c r="O16" s="213">
        <v>44900</v>
      </c>
      <c r="P16" s="213">
        <v>44921</v>
      </c>
      <c r="Q16" s="213" t="s">
        <v>114</v>
      </c>
      <c r="R16" s="213" t="s">
        <v>105</v>
      </c>
      <c r="S16" s="213" t="s">
        <v>105</v>
      </c>
      <c r="T16" s="213" t="s">
        <v>105</v>
      </c>
      <c r="U16" s="213">
        <v>44992</v>
      </c>
      <c r="V16" s="213" t="s">
        <v>105</v>
      </c>
      <c r="W16" s="213">
        <v>44992</v>
      </c>
      <c r="X16" s="213">
        <v>45019</v>
      </c>
      <c r="Y16" s="213">
        <v>45019</v>
      </c>
      <c r="Z16" s="253">
        <v>45029</v>
      </c>
      <c r="AA16" s="210" t="s">
        <v>115</v>
      </c>
      <c r="AB16" s="270" t="s">
        <v>111</v>
      </c>
      <c r="AC16" s="270" t="s">
        <v>112</v>
      </c>
      <c r="AD16" s="270" t="s">
        <v>113</v>
      </c>
      <c r="AE16" s="220" t="s">
        <v>12</v>
      </c>
      <c r="AF16" s="210" t="s">
        <v>4</v>
      </c>
      <c r="AG16" s="291">
        <v>15600</v>
      </c>
      <c r="AH16" s="291">
        <v>45600</v>
      </c>
      <c r="AI16" s="214" t="s">
        <v>23</v>
      </c>
      <c r="AJ16" s="230" t="s">
        <v>104</v>
      </c>
      <c r="AK16" s="210" t="s">
        <v>105</v>
      </c>
      <c r="AL16" s="210" t="s">
        <v>24</v>
      </c>
      <c r="AM16" s="210" t="s">
        <v>24</v>
      </c>
      <c r="AN16" s="210" t="s">
        <v>24</v>
      </c>
      <c r="AO16" s="210"/>
      <c r="AP16" s="219" t="s">
        <v>24</v>
      </c>
      <c r="AQ16" s="210" t="s">
        <v>24</v>
      </c>
      <c r="AR16" s="210" t="s">
        <v>24</v>
      </c>
      <c r="AS16" s="210" t="s">
        <v>24</v>
      </c>
      <c r="AT16" s="210" t="s">
        <v>24</v>
      </c>
      <c r="AU16" s="210" t="s">
        <v>24</v>
      </c>
      <c r="AV16" s="210" t="s">
        <v>24</v>
      </c>
      <c r="AW16" s="210" t="s">
        <v>24</v>
      </c>
      <c r="AX16" s="213">
        <v>45019</v>
      </c>
      <c r="AY16" s="213">
        <v>45019</v>
      </c>
      <c r="AZ16" s="253">
        <v>45029</v>
      </c>
      <c r="BA16" s="220" t="s">
        <v>30</v>
      </c>
      <c r="BB16" s="217" t="s">
        <v>105</v>
      </c>
      <c r="BC16" s="218">
        <f t="shared" ref="BC16:BC27" si="2">IF(AY16-ON16=0,"",AY16-O16)</f>
        <v>119</v>
      </c>
      <c r="BD16" s="210" t="str">
        <f t="shared" si="0"/>
        <v>AA</v>
      </c>
      <c r="BE16" s="210" t="str">
        <f t="shared" si="1"/>
        <v>NÃO</v>
      </c>
      <c r="BF16" s="210" t="s">
        <v>24</v>
      </c>
      <c r="BG16" s="210" t="s">
        <v>24</v>
      </c>
      <c r="BH16" s="210" t="s">
        <v>24</v>
      </c>
      <c r="BI16" s="210" t="s">
        <v>24</v>
      </c>
      <c r="BJ16" s="210" t="s">
        <v>24</v>
      </c>
      <c r="BK16" s="210" t="s">
        <v>24</v>
      </c>
      <c r="BL16" s="210" t="s">
        <v>24</v>
      </c>
      <c r="BM16" s="265" t="s">
        <v>105</v>
      </c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2"/>
      <c r="DP16" s="212"/>
    </row>
    <row r="17" spans="1:120" s="211" customFormat="1" ht="35.25" hidden="1" customHeight="1" x14ac:dyDescent="0.25">
      <c r="A17" s="210">
        <v>4</v>
      </c>
      <c r="B17" s="210" t="s">
        <v>99</v>
      </c>
      <c r="C17" s="220">
        <v>1</v>
      </c>
      <c r="D17" s="210">
        <v>0</v>
      </c>
      <c r="E17" s="210">
        <v>0</v>
      </c>
      <c r="F17" s="270" t="s">
        <v>116</v>
      </c>
      <c r="G17" s="220" t="s">
        <v>1</v>
      </c>
      <c r="H17" s="220" t="s">
        <v>2</v>
      </c>
      <c r="I17" s="210" t="s">
        <v>12</v>
      </c>
      <c r="J17" s="270" t="s">
        <v>117</v>
      </c>
      <c r="K17" s="270" t="s">
        <v>118</v>
      </c>
      <c r="L17" s="270" t="s">
        <v>119</v>
      </c>
      <c r="M17" s="220" t="s">
        <v>4</v>
      </c>
      <c r="N17" s="220" t="s">
        <v>14</v>
      </c>
      <c r="O17" s="213">
        <v>44900</v>
      </c>
      <c r="P17" s="213">
        <v>44921</v>
      </c>
      <c r="Q17" s="213" t="s">
        <v>114</v>
      </c>
      <c r="R17" s="213" t="s">
        <v>105</v>
      </c>
      <c r="S17" s="213" t="s">
        <v>105</v>
      </c>
      <c r="T17" s="213" t="s">
        <v>105</v>
      </c>
      <c r="U17" s="213">
        <v>44992</v>
      </c>
      <c r="V17" s="213" t="s">
        <v>105</v>
      </c>
      <c r="W17" s="213">
        <v>44992</v>
      </c>
      <c r="X17" s="213">
        <v>45019</v>
      </c>
      <c r="Y17" s="213">
        <v>45020</v>
      </c>
      <c r="Z17" s="253">
        <v>45029</v>
      </c>
      <c r="AA17" s="210" t="s">
        <v>115</v>
      </c>
      <c r="AB17" s="270" t="s">
        <v>117</v>
      </c>
      <c r="AC17" s="270" t="s">
        <v>118</v>
      </c>
      <c r="AD17" s="270" t="s">
        <v>119</v>
      </c>
      <c r="AE17" s="220" t="s">
        <v>12</v>
      </c>
      <c r="AF17" s="210" t="s">
        <v>4</v>
      </c>
      <c r="AG17" s="291">
        <v>14600</v>
      </c>
      <c r="AH17" s="291">
        <v>54600</v>
      </c>
      <c r="AI17" s="214" t="s">
        <v>23</v>
      </c>
      <c r="AJ17" s="230" t="s">
        <v>104</v>
      </c>
      <c r="AK17" s="210" t="s">
        <v>105</v>
      </c>
      <c r="AL17" s="210" t="s">
        <v>24</v>
      </c>
      <c r="AM17" s="210" t="s">
        <v>24</v>
      </c>
      <c r="AN17" s="210" t="s">
        <v>24</v>
      </c>
      <c r="AO17" s="210"/>
      <c r="AP17" s="219" t="s">
        <v>24</v>
      </c>
      <c r="AQ17" s="210" t="s">
        <v>24</v>
      </c>
      <c r="AR17" s="210" t="s">
        <v>24</v>
      </c>
      <c r="AS17" s="210" t="s">
        <v>24</v>
      </c>
      <c r="AT17" s="210" t="s">
        <v>24</v>
      </c>
      <c r="AU17" s="210" t="s">
        <v>24</v>
      </c>
      <c r="AV17" s="210" t="s">
        <v>24</v>
      </c>
      <c r="AW17" s="210" t="s">
        <v>24</v>
      </c>
      <c r="AX17" s="213">
        <v>45019</v>
      </c>
      <c r="AY17" s="213">
        <v>45020</v>
      </c>
      <c r="AZ17" s="253">
        <v>45029</v>
      </c>
      <c r="BA17" s="220" t="s">
        <v>30</v>
      </c>
      <c r="BB17" s="217" t="s">
        <v>105</v>
      </c>
      <c r="BC17" s="218">
        <f t="shared" si="2"/>
        <v>120</v>
      </c>
      <c r="BD17" s="210" t="str">
        <f t="shared" si="0"/>
        <v>AA</v>
      </c>
      <c r="BE17" s="210" t="str">
        <f t="shared" si="1"/>
        <v>NÃO</v>
      </c>
      <c r="BF17" s="210" t="s">
        <v>24</v>
      </c>
      <c r="BG17" s="210" t="s">
        <v>24</v>
      </c>
      <c r="BH17" s="210" t="s">
        <v>24</v>
      </c>
      <c r="BI17" s="210" t="s">
        <v>24</v>
      </c>
      <c r="BJ17" s="210" t="s">
        <v>24</v>
      </c>
      <c r="BK17" s="210" t="s">
        <v>24</v>
      </c>
      <c r="BL17" s="210" t="s">
        <v>24</v>
      </c>
      <c r="BM17" s="265" t="s">
        <v>105</v>
      </c>
      <c r="BN17" s="210"/>
      <c r="BO17" s="210"/>
      <c r="BP17" s="210"/>
      <c r="BQ17" s="210"/>
      <c r="BR17" s="210"/>
      <c r="BS17" s="210"/>
      <c r="BT17" s="210"/>
      <c r="BU17" s="210"/>
      <c r="BV17" s="210"/>
      <c r="BW17" s="210"/>
      <c r="BX17" s="210"/>
      <c r="BY17" s="210"/>
      <c r="BZ17" s="212"/>
      <c r="DP17" s="212"/>
    </row>
    <row r="18" spans="1:120" s="222" customFormat="1" ht="35.25" customHeight="1" x14ac:dyDescent="0.25">
      <c r="A18" s="210">
        <v>5</v>
      </c>
      <c r="B18" s="210" t="s">
        <v>99</v>
      </c>
      <c r="C18" s="220">
        <v>1</v>
      </c>
      <c r="D18" s="210">
        <v>0</v>
      </c>
      <c r="E18" s="210">
        <v>0</v>
      </c>
      <c r="F18" s="271" t="s">
        <v>120</v>
      </c>
      <c r="G18" s="220" t="s">
        <v>1</v>
      </c>
      <c r="H18" s="220" t="s">
        <v>2</v>
      </c>
      <c r="I18" s="220" t="s">
        <v>121</v>
      </c>
      <c r="J18" s="270" t="s">
        <v>122</v>
      </c>
      <c r="K18" s="270" t="s">
        <v>123</v>
      </c>
      <c r="L18" s="270" t="s">
        <v>124</v>
      </c>
      <c r="M18" s="220" t="s">
        <v>4</v>
      </c>
      <c r="N18" s="220" t="s">
        <v>14</v>
      </c>
      <c r="O18" s="213">
        <v>44900</v>
      </c>
      <c r="P18" s="213">
        <v>44921</v>
      </c>
      <c r="Q18" s="213" t="s">
        <v>114</v>
      </c>
      <c r="R18" s="213" t="s">
        <v>105</v>
      </c>
      <c r="S18" s="213" t="s">
        <v>105</v>
      </c>
      <c r="T18" s="213" t="s">
        <v>105</v>
      </c>
      <c r="U18" s="213">
        <v>44992</v>
      </c>
      <c r="V18" s="213" t="s">
        <v>105</v>
      </c>
      <c r="W18" s="213">
        <v>44992</v>
      </c>
      <c r="X18" s="213">
        <v>45019</v>
      </c>
      <c r="Y18" s="213">
        <v>45022</v>
      </c>
      <c r="Z18" s="253">
        <v>45057</v>
      </c>
      <c r="AA18" s="210" t="s">
        <v>115</v>
      </c>
      <c r="AB18" s="270" t="s">
        <v>125</v>
      </c>
      <c r="AC18" s="270" t="s">
        <v>126</v>
      </c>
      <c r="AD18" s="270" t="s">
        <v>127</v>
      </c>
      <c r="AE18" s="220" t="s">
        <v>3</v>
      </c>
      <c r="AF18" s="210" t="s">
        <v>4</v>
      </c>
      <c r="AG18" s="291">
        <v>107600</v>
      </c>
      <c r="AH18" s="291">
        <v>107600</v>
      </c>
      <c r="AI18" s="214" t="s">
        <v>6</v>
      </c>
      <c r="AJ18" s="230" t="s">
        <v>104</v>
      </c>
      <c r="AK18" s="210" t="s">
        <v>105</v>
      </c>
      <c r="AL18" s="210" t="s">
        <v>105</v>
      </c>
      <c r="AM18" s="210" t="s">
        <v>105</v>
      </c>
      <c r="AN18" s="210" t="s">
        <v>106</v>
      </c>
      <c r="AO18" s="210"/>
      <c r="AP18" s="219" t="s">
        <v>128</v>
      </c>
      <c r="AQ18" s="210" t="s">
        <v>105</v>
      </c>
      <c r="AR18" s="210" t="s">
        <v>105</v>
      </c>
      <c r="AS18" s="210" t="s">
        <v>105</v>
      </c>
      <c r="AT18" s="210" t="s">
        <v>105</v>
      </c>
      <c r="AU18" s="213">
        <v>44966</v>
      </c>
      <c r="AV18" s="210" t="s">
        <v>105</v>
      </c>
      <c r="AW18" s="210" t="s">
        <v>105</v>
      </c>
      <c r="AX18" s="213">
        <v>45041</v>
      </c>
      <c r="AY18" s="213">
        <v>45041</v>
      </c>
      <c r="AZ18" s="253">
        <v>45057</v>
      </c>
      <c r="BA18" s="220" t="s">
        <v>30</v>
      </c>
      <c r="BB18" s="217" t="s">
        <v>105</v>
      </c>
      <c r="BC18" s="218">
        <f t="shared" si="2"/>
        <v>141</v>
      </c>
      <c r="BD18" s="210" t="str">
        <f t="shared" si="0"/>
        <v>INDENIZAÇÃO</v>
      </c>
      <c r="BE18" s="210" t="str">
        <f t="shared" si="1"/>
        <v>NÃO</v>
      </c>
      <c r="BF18" s="210" t="s">
        <v>24</v>
      </c>
      <c r="BG18" s="210" t="s">
        <v>24</v>
      </c>
      <c r="BH18" s="210" t="s">
        <v>24</v>
      </c>
      <c r="BI18" s="210" t="s">
        <v>105</v>
      </c>
      <c r="BJ18" s="210" t="s">
        <v>105</v>
      </c>
      <c r="BK18" s="253">
        <v>45190</v>
      </c>
      <c r="BL18" s="210" t="s">
        <v>105</v>
      </c>
      <c r="BM18" s="265" t="s">
        <v>105</v>
      </c>
      <c r="BN18" s="210"/>
      <c r="BO18" s="210"/>
      <c r="BP18" s="210"/>
      <c r="BQ18" s="210"/>
      <c r="BR18" s="210"/>
      <c r="BS18" s="210"/>
      <c r="BT18" s="210"/>
      <c r="BU18" s="210"/>
      <c r="BV18" s="210"/>
      <c r="BW18" s="210"/>
      <c r="BX18" s="210"/>
      <c r="BY18" s="210"/>
      <c r="BZ18" s="223"/>
      <c r="DP18" s="223"/>
    </row>
    <row r="19" spans="1:120" s="222" customFormat="1" ht="35.25" customHeight="1" x14ac:dyDescent="0.25">
      <c r="A19" s="210">
        <v>6</v>
      </c>
      <c r="B19" s="210" t="s">
        <v>99</v>
      </c>
      <c r="C19" s="220">
        <v>1</v>
      </c>
      <c r="D19" s="210">
        <v>0</v>
      </c>
      <c r="E19" s="210">
        <v>0</v>
      </c>
      <c r="F19" s="271" t="s">
        <v>129</v>
      </c>
      <c r="G19" s="220" t="s">
        <v>1</v>
      </c>
      <c r="H19" s="220" t="s">
        <v>2</v>
      </c>
      <c r="I19" s="220" t="s">
        <v>121</v>
      </c>
      <c r="J19" s="270" t="s">
        <v>130</v>
      </c>
      <c r="K19" s="270" t="s">
        <v>131</v>
      </c>
      <c r="L19" s="270" t="s">
        <v>132</v>
      </c>
      <c r="M19" s="220" t="s">
        <v>4</v>
      </c>
      <c r="N19" s="220" t="s">
        <v>14</v>
      </c>
      <c r="O19" s="213">
        <v>44900</v>
      </c>
      <c r="P19" s="213">
        <v>44921</v>
      </c>
      <c r="Q19" s="213" t="s">
        <v>114</v>
      </c>
      <c r="R19" s="213" t="s">
        <v>105</v>
      </c>
      <c r="S19" s="213" t="s">
        <v>105</v>
      </c>
      <c r="T19" s="213" t="s">
        <v>105</v>
      </c>
      <c r="U19" s="213">
        <v>44992</v>
      </c>
      <c r="V19" s="213" t="s">
        <v>105</v>
      </c>
      <c r="W19" s="213">
        <v>44992</v>
      </c>
      <c r="X19" s="213">
        <v>45019</v>
      </c>
      <c r="Y19" s="213">
        <v>45019</v>
      </c>
      <c r="Z19" s="253">
        <v>45022</v>
      </c>
      <c r="AA19" s="210" t="s">
        <v>115</v>
      </c>
      <c r="AB19" s="271" t="s">
        <v>133</v>
      </c>
      <c r="AC19" s="270" t="s">
        <v>134</v>
      </c>
      <c r="AD19" s="270" t="s">
        <v>135</v>
      </c>
      <c r="AE19" s="220" t="s">
        <v>3</v>
      </c>
      <c r="AF19" s="210" t="s">
        <v>4</v>
      </c>
      <c r="AG19" s="291">
        <v>27100</v>
      </c>
      <c r="AH19" s="291">
        <v>57100</v>
      </c>
      <c r="AI19" s="214" t="s">
        <v>6</v>
      </c>
      <c r="AJ19" s="230" t="s">
        <v>104</v>
      </c>
      <c r="AK19" s="210" t="s">
        <v>105</v>
      </c>
      <c r="AL19" s="210" t="s">
        <v>105</v>
      </c>
      <c r="AM19" s="210" t="s">
        <v>105</v>
      </c>
      <c r="AN19" s="210" t="s">
        <v>106</v>
      </c>
      <c r="AO19" s="284"/>
      <c r="AP19" s="219" t="s">
        <v>136</v>
      </c>
      <c r="AQ19" s="210" t="s">
        <v>105</v>
      </c>
      <c r="AR19" s="210" t="s">
        <v>105</v>
      </c>
      <c r="AS19" s="210" t="s">
        <v>105</v>
      </c>
      <c r="AT19" s="210" t="s">
        <v>105</v>
      </c>
      <c r="AU19" s="213">
        <v>44966</v>
      </c>
      <c r="AV19" s="210" t="s">
        <v>105</v>
      </c>
      <c r="AW19" s="210" t="s">
        <v>105</v>
      </c>
      <c r="AX19" s="213">
        <v>45009</v>
      </c>
      <c r="AY19" s="213">
        <v>45009</v>
      </c>
      <c r="AZ19" s="253">
        <v>45022</v>
      </c>
      <c r="BA19" s="220" t="s">
        <v>30</v>
      </c>
      <c r="BB19" s="217" t="s">
        <v>105</v>
      </c>
      <c r="BC19" s="218">
        <f t="shared" si="2"/>
        <v>109</v>
      </c>
      <c r="BD19" s="210" t="str">
        <f t="shared" si="0"/>
        <v>INDENIZAÇÃO</v>
      </c>
      <c r="BE19" s="210" t="str">
        <f t="shared" si="1"/>
        <v>NÃO</v>
      </c>
      <c r="BF19" s="210" t="s">
        <v>24</v>
      </c>
      <c r="BG19" s="210" t="s">
        <v>24</v>
      </c>
      <c r="BH19" s="210" t="s">
        <v>24</v>
      </c>
      <c r="BI19" s="254" t="s">
        <v>105</v>
      </c>
      <c r="BJ19" s="254" t="s">
        <v>105</v>
      </c>
      <c r="BK19" s="253">
        <v>45190</v>
      </c>
      <c r="BL19" s="254" t="s">
        <v>105</v>
      </c>
      <c r="BM19" s="265" t="s">
        <v>105</v>
      </c>
      <c r="BN19" s="210"/>
      <c r="BO19" s="210"/>
      <c r="BP19" s="210"/>
      <c r="BQ19" s="210"/>
      <c r="BR19" s="210"/>
      <c r="BS19" s="210"/>
      <c r="BT19" s="210"/>
      <c r="BU19" s="210"/>
      <c r="BV19" s="210"/>
      <c r="BW19" s="210"/>
      <c r="BX19" s="210"/>
      <c r="BY19" s="210"/>
      <c r="BZ19" s="223"/>
      <c r="DP19" s="223"/>
    </row>
    <row r="20" spans="1:120" s="211" customFormat="1" ht="35.25" customHeight="1" x14ac:dyDescent="0.25">
      <c r="A20" s="210">
        <v>7</v>
      </c>
      <c r="B20" s="210" t="s">
        <v>99</v>
      </c>
      <c r="C20" s="210">
        <v>1</v>
      </c>
      <c r="D20" s="210">
        <v>0</v>
      </c>
      <c r="E20" s="210">
        <v>0</v>
      </c>
      <c r="F20" s="219" t="s">
        <v>137</v>
      </c>
      <c r="G20" s="210" t="s">
        <v>138</v>
      </c>
      <c r="H20" s="210" t="s">
        <v>2</v>
      </c>
      <c r="I20" s="272"/>
      <c r="J20" s="219" t="s">
        <v>139</v>
      </c>
      <c r="K20" s="219" t="s">
        <v>139</v>
      </c>
      <c r="L20" s="219" t="s">
        <v>139</v>
      </c>
      <c r="M20" s="220" t="s">
        <v>4</v>
      </c>
      <c r="N20" s="220" t="s">
        <v>5</v>
      </c>
      <c r="O20" s="213">
        <v>44900</v>
      </c>
      <c r="P20" s="213" t="s">
        <v>24</v>
      </c>
      <c r="Q20" s="213" t="s">
        <v>24</v>
      </c>
      <c r="R20" s="213" t="s">
        <v>24</v>
      </c>
      <c r="S20" s="213" t="s">
        <v>24</v>
      </c>
      <c r="T20" s="213" t="s">
        <v>24</v>
      </c>
      <c r="U20" s="213" t="s">
        <v>24</v>
      </c>
      <c r="V20" s="213" t="s">
        <v>24</v>
      </c>
      <c r="W20" s="213" t="s">
        <v>24</v>
      </c>
      <c r="X20" s="213" t="s">
        <v>24</v>
      </c>
      <c r="Y20" s="213" t="s">
        <v>24</v>
      </c>
      <c r="Z20" s="213" t="s">
        <v>24</v>
      </c>
      <c r="AA20" s="210"/>
      <c r="AB20" s="219" t="s">
        <v>140</v>
      </c>
      <c r="AC20" s="219" t="s">
        <v>141</v>
      </c>
      <c r="AD20" s="219" t="s">
        <v>142</v>
      </c>
      <c r="AE20" s="220" t="s">
        <v>3</v>
      </c>
      <c r="AF20" s="210" t="s">
        <v>4</v>
      </c>
      <c r="AG20" s="230">
        <v>15900</v>
      </c>
      <c r="AH20" s="230">
        <v>45900</v>
      </c>
      <c r="AI20" s="214" t="s">
        <v>6</v>
      </c>
      <c r="AJ20" s="230" t="s">
        <v>104</v>
      </c>
      <c r="AK20" s="210" t="s">
        <v>105</v>
      </c>
      <c r="AL20" s="210" t="s">
        <v>105</v>
      </c>
      <c r="AM20" s="210" t="s">
        <v>105</v>
      </c>
      <c r="AN20" s="210" t="s">
        <v>106</v>
      </c>
      <c r="AO20" s="210"/>
      <c r="AP20" s="219" t="s">
        <v>143</v>
      </c>
      <c r="AQ20" s="210" t="s">
        <v>105</v>
      </c>
      <c r="AR20" s="210" t="s">
        <v>105</v>
      </c>
      <c r="AS20" s="210" t="s">
        <v>105</v>
      </c>
      <c r="AT20" s="210" t="s">
        <v>105</v>
      </c>
      <c r="AU20" s="213">
        <v>44966</v>
      </c>
      <c r="AV20" s="210" t="s">
        <v>105</v>
      </c>
      <c r="AW20" s="210" t="s">
        <v>105</v>
      </c>
      <c r="AX20" s="213">
        <v>45009</v>
      </c>
      <c r="AY20" s="213">
        <v>45009</v>
      </c>
      <c r="AZ20" s="213">
        <v>45021</v>
      </c>
      <c r="BA20" s="210" t="s">
        <v>30</v>
      </c>
      <c r="BB20" s="217" t="s">
        <v>105</v>
      </c>
      <c r="BC20" s="218">
        <f t="shared" si="2"/>
        <v>109</v>
      </c>
      <c r="BD20" s="210" t="str">
        <f t="shared" si="0"/>
        <v>INDENIZAÇÃO</v>
      </c>
      <c r="BE20" s="210" t="str">
        <f t="shared" si="1"/>
        <v>NÃO</v>
      </c>
      <c r="BF20" s="210" t="s">
        <v>24</v>
      </c>
      <c r="BG20" s="210" t="s">
        <v>24</v>
      </c>
      <c r="BH20" s="210" t="s">
        <v>24</v>
      </c>
      <c r="BI20" s="254" t="s">
        <v>105</v>
      </c>
      <c r="BJ20" s="254" t="s">
        <v>105</v>
      </c>
      <c r="BK20" s="253">
        <v>45190</v>
      </c>
      <c r="BL20" s="254" t="s">
        <v>105</v>
      </c>
      <c r="BM20" s="265" t="s">
        <v>105</v>
      </c>
      <c r="BN20" s="210"/>
      <c r="BO20" s="210"/>
      <c r="BP20" s="210"/>
      <c r="BQ20" s="210"/>
      <c r="BR20" s="210"/>
      <c r="BS20" s="210"/>
      <c r="BT20" s="210"/>
      <c r="BU20" s="210"/>
      <c r="BV20" s="210"/>
      <c r="BW20" s="210"/>
      <c r="BX20" s="210"/>
      <c r="BY20" s="210"/>
      <c r="BZ20" s="212"/>
      <c r="DP20" s="212"/>
    </row>
    <row r="21" spans="1:120" s="211" customFormat="1" ht="35.25" customHeight="1" x14ac:dyDescent="0.25">
      <c r="A21" s="210">
        <v>8</v>
      </c>
      <c r="B21" s="210" t="s">
        <v>99</v>
      </c>
      <c r="C21" s="220">
        <v>1</v>
      </c>
      <c r="D21" s="210">
        <v>0</v>
      </c>
      <c r="E21" s="210">
        <v>0</v>
      </c>
      <c r="F21" s="270" t="s">
        <v>144</v>
      </c>
      <c r="G21" s="220" t="s">
        <v>1</v>
      </c>
      <c r="H21" s="220" t="s">
        <v>2</v>
      </c>
      <c r="I21" s="210" t="s">
        <v>12</v>
      </c>
      <c r="J21" s="270" t="s">
        <v>145</v>
      </c>
      <c r="K21" s="270" t="s">
        <v>146</v>
      </c>
      <c r="L21" s="270" t="s">
        <v>147</v>
      </c>
      <c r="M21" s="220" t="s">
        <v>4</v>
      </c>
      <c r="N21" s="220" t="s">
        <v>5</v>
      </c>
      <c r="O21" s="213">
        <v>44900</v>
      </c>
      <c r="P21" s="213" t="s">
        <v>24</v>
      </c>
      <c r="Q21" s="213" t="s">
        <v>24</v>
      </c>
      <c r="R21" s="213" t="s">
        <v>24</v>
      </c>
      <c r="S21" s="213" t="s">
        <v>24</v>
      </c>
      <c r="T21" s="213" t="s">
        <v>24</v>
      </c>
      <c r="U21" s="213" t="s">
        <v>24</v>
      </c>
      <c r="V21" s="213" t="s">
        <v>24</v>
      </c>
      <c r="W21" s="213" t="s">
        <v>24</v>
      </c>
      <c r="X21" s="213" t="s">
        <v>24</v>
      </c>
      <c r="Y21" s="213" t="s">
        <v>24</v>
      </c>
      <c r="Z21" s="213" t="s">
        <v>24</v>
      </c>
      <c r="AA21" s="210"/>
      <c r="AB21" s="270" t="s">
        <v>145</v>
      </c>
      <c r="AC21" s="270" t="s">
        <v>146</v>
      </c>
      <c r="AD21" s="270" t="s">
        <v>147</v>
      </c>
      <c r="AE21" s="220" t="s">
        <v>12</v>
      </c>
      <c r="AF21" s="210" t="s">
        <v>4</v>
      </c>
      <c r="AG21" s="291">
        <v>48500</v>
      </c>
      <c r="AH21" s="291">
        <v>60000</v>
      </c>
      <c r="AI21" s="214" t="s">
        <v>6</v>
      </c>
      <c r="AJ21" s="230" t="s">
        <v>104</v>
      </c>
      <c r="AK21" s="210" t="s">
        <v>105</v>
      </c>
      <c r="AL21" s="210" t="s">
        <v>105</v>
      </c>
      <c r="AM21" s="210" t="s">
        <v>105</v>
      </c>
      <c r="AN21" s="210" t="s">
        <v>106</v>
      </c>
      <c r="AO21" s="210"/>
      <c r="AP21" s="219" t="s">
        <v>148</v>
      </c>
      <c r="AQ21" s="210" t="s">
        <v>105</v>
      </c>
      <c r="AR21" s="210" t="s">
        <v>105</v>
      </c>
      <c r="AS21" s="210" t="s">
        <v>105</v>
      </c>
      <c r="AT21" s="210" t="s">
        <v>105</v>
      </c>
      <c r="AU21" s="213">
        <v>44966</v>
      </c>
      <c r="AV21" s="210" t="s">
        <v>105</v>
      </c>
      <c r="AW21" s="210" t="s">
        <v>105</v>
      </c>
      <c r="AX21" s="213">
        <v>45009</v>
      </c>
      <c r="AY21" s="213">
        <v>45009</v>
      </c>
      <c r="AZ21" s="253">
        <v>45033</v>
      </c>
      <c r="BA21" s="254" t="s">
        <v>30</v>
      </c>
      <c r="BB21" s="217" t="s">
        <v>105</v>
      </c>
      <c r="BC21" s="218">
        <f t="shared" si="2"/>
        <v>109</v>
      </c>
      <c r="BD21" s="210" t="str">
        <f t="shared" si="0"/>
        <v>INDENIZAÇÃO</v>
      </c>
      <c r="BE21" s="210" t="str">
        <f t="shared" si="1"/>
        <v>NÃO</v>
      </c>
      <c r="BF21" s="210" t="s">
        <v>24</v>
      </c>
      <c r="BG21" s="210" t="s">
        <v>24</v>
      </c>
      <c r="BH21" s="210" t="s">
        <v>24</v>
      </c>
      <c r="BI21" s="210" t="s">
        <v>105</v>
      </c>
      <c r="BJ21" s="210" t="s">
        <v>105</v>
      </c>
      <c r="BK21" s="253">
        <v>45190</v>
      </c>
      <c r="BL21" s="210" t="s">
        <v>105</v>
      </c>
      <c r="BM21" s="265" t="s">
        <v>105</v>
      </c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2"/>
      <c r="DP21" s="212"/>
    </row>
    <row r="22" spans="1:120" s="211" customFormat="1" ht="35.25" hidden="1" customHeight="1" x14ac:dyDescent="0.25">
      <c r="A22" s="210">
        <v>9</v>
      </c>
      <c r="B22" s="210" t="s">
        <v>99</v>
      </c>
      <c r="C22" s="220">
        <v>1</v>
      </c>
      <c r="D22" s="210">
        <v>0</v>
      </c>
      <c r="E22" s="210">
        <v>0</v>
      </c>
      <c r="F22" s="270" t="s">
        <v>149</v>
      </c>
      <c r="G22" s="220" t="s">
        <v>1</v>
      </c>
      <c r="H22" s="220" t="s">
        <v>2</v>
      </c>
      <c r="I22" s="210" t="s">
        <v>12</v>
      </c>
      <c r="J22" s="270" t="s">
        <v>150</v>
      </c>
      <c r="K22" s="270" t="s">
        <v>151</v>
      </c>
      <c r="L22" s="270" t="s">
        <v>152</v>
      </c>
      <c r="M22" s="220" t="s">
        <v>4</v>
      </c>
      <c r="N22" s="220" t="s">
        <v>14</v>
      </c>
      <c r="O22" s="213">
        <v>44900</v>
      </c>
      <c r="P22" s="213">
        <v>44921</v>
      </c>
      <c r="Q22" s="213" t="s">
        <v>114</v>
      </c>
      <c r="R22" s="213" t="s">
        <v>105</v>
      </c>
      <c r="S22" s="213" t="s">
        <v>105</v>
      </c>
      <c r="T22" s="213" t="s">
        <v>105</v>
      </c>
      <c r="U22" s="213">
        <v>44992</v>
      </c>
      <c r="V22" s="213" t="s">
        <v>105</v>
      </c>
      <c r="W22" s="213">
        <v>44992</v>
      </c>
      <c r="X22" s="213">
        <v>45019</v>
      </c>
      <c r="Y22" s="213">
        <v>45019</v>
      </c>
      <c r="Z22" s="213">
        <v>45033</v>
      </c>
      <c r="AA22" s="210" t="s">
        <v>115</v>
      </c>
      <c r="AB22" s="270" t="s">
        <v>150</v>
      </c>
      <c r="AC22" s="270" t="s">
        <v>151</v>
      </c>
      <c r="AD22" s="270" t="s">
        <v>152</v>
      </c>
      <c r="AE22" s="220" t="s">
        <v>12</v>
      </c>
      <c r="AF22" s="210" t="s">
        <v>4</v>
      </c>
      <c r="AG22" s="291">
        <v>19900</v>
      </c>
      <c r="AH22" s="291">
        <v>49900</v>
      </c>
      <c r="AI22" s="214" t="s">
        <v>23</v>
      </c>
      <c r="AJ22" s="230" t="s">
        <v>104</v>
      </c>
      <c r="AK22" s="210" t="s">
        <v>105</v>
      </c>
      <c r="AL22" s="210" t="s">
        <v>24</v>
      </c>
      <c r="AM22" s="210" t="s">
        <v>24</v>
      </c>
      <c r="AN22" s="210" t="s">
        <v>24</v>
      </c>
      <c r="AO22" s="210"/>
      <c r="AP22" s="219" t="s">
        <v>24</v>
      </c>
      <c r="AQ22" s="210" t="s">
        <v>24</v>
      </c>
      <c r="AR22" s="210" t="s">
        <v>24</v>
      </c>
      <c r="AS22" s="210" t="s">
        <v>24</v>
      </c>
      <c r="AT22" s="210" t="s">
        <v>24</v>
      </c>
      <c r="AU22" s="210" t="s">
        <v>24</v>
      </c>
      <c r="AV22" s="210" t="s">
        <v>24</v>
      </c>
      <c r="AW22" s="210" t="s">
        <v>24</v>
      </c>
      <c r="AX22" s="213">
        <v>45019</v>
      </c>
      <c r="AY22" s="213">
        <v>45019</v>
      </c>
      <c r="AZ22" s="253">
        <v>45033</v>
      </c>
      <c r="BA22" s="254" t="s">
        <v>30</v>
      </c>
      <c r="BB22" s="217" t="s">
        <v>105</v>
      </c>
      <c r="BC22" s="218">
        <f t="shared" si="2"/>
        <v>119</v>
      </c>
      <c r="BD22" s="210" t="str">
        <f t="shared" si="0"/>
        <v>AA</v>
      </c>
      <c r="BE22" s="210" t="str">
        <f t="shared" si="1"/>
        <v>NÃO</v>
      </c>
      <c r="BF22" s="210" t="s">
        <v>24</v>
      </c>
      <c r="BG22" s="210" t="s">
        <v>24</v>
      </c>
      <c r="BH22" s="210" t="s">
        <v>24</v>
      </c>
      <c r="BI22" s="210" t="s">
        <v>24</v>
      </c>
      <c r="BJ22" s="210" t="s">
        <v>24</v>
      </c>
      <c r="BK22" s="210" t="s">
        <v>24</v>
      </c>
      <c r="BL22" s="210" t="s">
        <v>24</v>
      </c>
      <c r="BM22" s="265" t="s">
        <v>105</v>
      </c>
      <c r="BN22" s="210"/>
      <c r="BO22" s="210"/>
      <c r="BP22" s="210"/>
      <c r="BQ22" s="210"/>
      <c r="BR22" s="210"/>
      <c r="BS22" s="210"/>
      <c r="BT22" s="210"/>
      <c r="BU22" s="210"/>
      <c r="BV22" s="210"/>
      <c r="BW22" s="210"/>
      <c r="BX22" s="210"/>
      <c r="BY22" s="210"/>
      <c r="BZ22" s="212"/>
      <c r="DP22" s="212"/>
    </row>
    <row r="23" spans="1:120" s="211" customFormat="1" ht="35.25" customHeight="1" x14ac:dyDescent="0.25">
      <c r="A23" s="210">
        <v>10</v>
      </c>
      <c r="B23" s="210" t="s">
        <v>99</v>
      </c>
      <c r="C23" s="220">
        <v>1</v>
      </c>
      <c r="D23" s="210">
        <v>0</v>
      </c>
      <c r="E23" s="210">
        <v>0</v>
      </c>
      <c r="F23" s="270" t="s">
        <v>153</v>
      </c>
      <c r="G23" s="220" t="s">
        <v>1</v>
      </c>
      <c r="H23" s="220" t="s">
        <v>2</v>
      </c>
      <c r="I23" s="210" t="s">
        <v>12</v>
      </c>
      <c r="J23" s="270" t="s">
        <v>154</v>
      </c>
      <c r="K23" s="270" t="s">
        <v>155</v>
      </c>
      <c r="L23" s="270" t="s">
        <v>156</v>
      </c>
      <c r="M23" s="220" t="s">
        <v>4</v>
      </c>
      <c r="N23" s="220" t="s">
        <v>5</v>
      </c>
      <c r="O23" s="213">
        <v>44900</v>
      </c>
      <c r="P23" s="213" t="s">
        <v>24</v>
      </c>
      <c r="Q23" s="213" t="s">
        <v>24</v>
      </c>
      <c r="R23" s="213" t="s">
        <v>24</v>
      </c>
      <c r="S23" s="213" t="s">
        <v>24</v>
      </c>
      <c r="T23" s="213" t="s">
        <v>24</v>
      </c>
      <c r="U23" s="213" t="s">
        <v>24</v>
      </c>
      <c r="V23" s="213" t="s">
        <v>24</v>
      </c>
      <c r="W23" s="213" t="s">
        <v>24</v>
      </c>
      <c r="X23" s="213" t="s">
        <v>24</v>
      </c>
      <c r="Y23" s="213" t="s">
        <v>24</v>
      </c>
      <c r="Z23" s="213" t="s">
        <v>24</v>
      </c>
      <c r="AA23" s="210"/>
      <c r="AB23" s="270" t="s">
        <v>154</v>
      </c>
      <c r="AC23" s="270" t="s">
        <v>155</v>
      </c>
      <c r="AD23" s="270" t="s">
        <v>156</v>
      </c>
      <c r="AE23" s="220" t="s">
        <v>12</v>
      </c>
      <c r="AF23" s="210" t="s">
        <v>4</v>
      </c>
      <c r="AG23" s="291">
        <v>19800</v>
      </c>
      <c r="AH23" s="291">
        <v>49800</v>
      </c>
      <c r="AI23" s="214" t="s">
        <v>6</v>
      </c>
      <c r="AJ23" s="230" t="s">
        <v>104</v>
      </c>
      <c r="AK23" s="210" t="s">
        <v>105</v>
      </c>
      <c r="AL23" s="210" t="s">
        <v>105</v>
      </c>
      <c r="AM23" s="210" t="s">
        <v>105</v>
      </c>
      <c r="AN23" s="210" t="s">
        <v>106</v>
      </c>
      <c r="AO23" s="210"/>
      <c r="AP23" s="219" t="s">
        <v>157</v>
      </c>
      <c r="AQ23" s="210" t="s">
        <v>105</v>
      </c>
      <c r="AR23" s="210" t="s">
        <v>105</v>
      </c>
      <c r="AS23" s="210" t="s">
        <v>105</v>
      </c>
      <c r="AT23" s="210" t="s">
        <v>105</v>
      </c>
      <c r="AU23" s="213">
        <v>44922</v>
      </c>
      <c r="AV23" s="210" t="s">
        <v>105</v>
      </c>
      <c r="AW23" s="210" t="s">
        <v>105</v>
      </c>
      <c r="AX23" s="213">
        <v>44924</v>
      </c>
      <c r="AY23" s="213">
        <v>44924</v>
      </c>
      <c r="AZ23" s="253">
        <v>44935</v>
      </c>
      <c r="BA23" s="254" t="s">
        <v>30</v>
      </c>
      <c r="BB23" s="217" t="s">
        <v>105</v>
      </c>
      <c r="BC23" s="218">
        <f t="shared" si="2"/>
        <v>24</v>
      </c>
      <c r="BD23" s="210" t="str">
        <f t="shared" si="0"/>
        <v>INDENIZAÇÃO</v>
      </c>
      <c r="BE23" s="210" t="str">
        <f t="shared" si="1"/>
        <v>NÃO</v>
      </c>
      <c r="BF23" s="210" t="s">
        <v>24</v>
      </c>
      <c r="BG23" s="210" t="s">
        <v>24</v>
      </c>
      <c r="BH23" s="210" t="s">
        <v>24</v>
      </c>
      <c r="BI23" s="210" t="s">
        <v>105</v>
      </c>
      <c r="BJ23" s="254" t="s">
        <v>105</v>
      </c>
      <c r="BK23" s="253">
        <v>45057</v>
      </c>
      <c r="BL23" s="254" t="s">
        <v>105</v>
      </c>
      <c r="BM23" s="265" t="s">
        <v>105</v>
      </c>
      <c r="BN23" s="210"/>
      <c r="BO23" s="210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2"/>
      <c r="DP23" s="212"/>
    </row>
    <row r="24" spans="1:120" s="222" customFormat="1" ht="35.25" customHeight="1" x14ac:dyDescent="0.25">
      <c r="A24" s="210">
        <v>11</v>
      </c>
      <c r="B24" s="210" t="s">
        <v>99</v>
      </c>
      <c r="C24" s="220">
        <v>1</v>
      </c>
      <c r="D24" s="210">
        <v>0</v>
      </c>
      <c r="E24" s="210">
        <v>0</v>
      </c>
      <c r="F24" s="270" t="s">
        <v>158</v>
      </c>
      <c r="G24" s="220" t="s">
        <v>1</v>
      </c>
      <c r="H24" s="220" t="s">
        <v>2</v>
      </c>
      <c r="I24" s="210" t="s">
        <v>12</v>
      </c>
      <c r="J24" s="270" t="s">
        <v>159</v>
      </c>
      <c r="K24" s="270" t="s">
        <v>160</v>
      </c>
      <c r="L24" s="270" t="s">
        <v>161</v>
      </c>
      <c r="M24" s="220" t="s">
        <v>4</v>
      </c>
      <c r="N24" s="220" t="s">
        <v>5</v>
      </c>
      <c r="O24" s="213">
        <v>44900</v>
      </c>
      <c r="P24" s="213" t="s">
        <v>24</v>
      </c>
      <c r="Q24" s="213" t="s">
        <v>24</v>
      </c>
      <c r="R24" s="213" t="s">
        <v>24</v>
      </c>
      <c r="S24" s="213" t="s">
        <v>24</v>
      </c>
      <c r="T24" s="213" t="s">
        <v>24</v>
      </c>
      <c r="U24" s="213" t="s">
        <v>24</v>
      </c>
      <c r="V24" s="213" t="s">
        <v>24</v>
      </c>
      <c r="W24" s="213" t="s">
        <v>24</v>
      </c>
      <c r="X24" s="213" t="s">
        <v>24</v>
      </c>
      <c r="Y24" s="213" t="s">
        <v>24</v>
      </c>
      <c r="Z24" s="213" t="s">
        <v>24</v>
      </c>
      <c r="AA24" s="210"/>
      <c r="AB24" s="270" t="s">
        <v>159</v>
      </c>
      <c r="AC24" s="270" t="s">
        <v>160</v>
      </c>
      <c r="AD24" s="270" t="s">
        <v>161</v>
      </c>
      <c r="AE24" s="220" t="s">
        <v>12</v>
      </c>
      <c r="AF24" s="210" t="s">
        <v>4</v>
      </c>
      <c r="AG24" s="291">
        <v>30400</v>
      </c>
      <c r="AH24" s="291">
        <v>60000</v>
      </c>
      <c r="AI24" s="214" t="s">
        <v>6</v>
      </c>
      <c r="AJ24" s="230" t="s">
        <v>104</v>
      </c>
      <c r="AK24" s="210" t="s">
        <v>105</v>
      </c>
      <c r="AL24" s="210" t="s">
        <v>105</v>
      </c>
      <c r="AM24" s="210" t="s">
        <v>105</v>
      </c>
      <c r="AN24" s="210" t="s">
        <v>106</v>
      </c>
      <c r="AO24" s="210"/>
      <c r="AP24" s="219" t="s">
        <v>162</v>
      </c>
      <c r="AQ24" s="210" t="s">
        <v>105</v>
      </c>
      <c r="AR24" s="210" t="s">
        <v>105</v>
      </c>
      <c r="AS24" s="210" t="s">
        <v>105</v>
      </c>
      <c r="AT24" s="210" t="s">
        <v>105</v>
      </c>
      <c r="AU24" s="213">
        <v>44922</v>
      </c>
      <c r="AV24" s="210" t="s">
        <v>105</v>
      </c>
      <c r="AW24" s="210" t="s">
        <v>105</v>
      </c>
      <c r="AX24" s="213">
        <v>44924</v>
      </c>
      <c r="AY24" s="213">
        <v>44924</v>
      </c>
      <c r="AZ24" s="253">
        <v>44935</v>
      </c>
      <c r="BA24" s="254" t="s">
        <v>30</v>
      </c>
      <c r="BB24" s="217" t="s">
        <v>105</v>
      </c>
      <c r="BC24" s="218">
        <f t="shared" si="2"/>
        <v>24</v>
      </c>
      <c r="BD24" s="210" t="str">
        <f t="shared" si="0"/>
        <v>INDENIZAÇÃO</v>
      </c>
      <c r="BE24" s="210" t="str">
        <f t="shared" si="1"/>
        <v>NÃO</v>
      </c>
      <c r="BF24" s="210" t="s">
        <v>24</v>
      </c>
      <c r="BG24" s="210" t="s">
        <v>24</v>
      </c>
      <c r="BH24" s="210" t="s">
        <v>24</v>
      </c>
      <c r="BI24" s="210" t="s">
        <v>105</v>
      </c>
      <c r="BJ24" s="254" t="s">
        <v>105</v>
      </c>
      <c r="BK24" s="253">
        <v>45057</v>
      </c>
      <c r="BL24" s="254" t="s">
        <v>105</v>
      </c>
      <c r="BM24" s="265" t="s">
        <v>105</v>
      </c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23"/>
      <c r="DP24" s="223"/>
    </row>
    <row r="25" spans="1:120" s="211" customFormat="1" ht="35.25" hidden="1" customHeight="1" x14ac:dyDescent="0.25">
      <c r="A25" s="210">
        <v>12</v>
      </c>
      <c r="B25" s="210" t="s">
        <v>99</v>
      </c>
      <c r="C25" s="220">
        <v>1</v>
      </c>
      <c r="D25" s="210">
        <v>0</v>
      </c>
      <c r="E25" s="210">
        <v>0</v>
      </c>
      <c r="F25" s="270" t="s">
        <v>163</v>
      </c>
      <c r="G25" s="220" t="s">
        <v>1</v>
      </c>
      <c r="H25" s="220" t="s">
        <v>2</v>
      </c>
      <c r="I25" s="210" t="s">
        <v>12</v>
      </c>
      <c r="J25" s="270" t="s">
        <v>164</v>
      </c>
      <c r="K25" s="270" t="s">
        <v>165</v>
      </c>
      <c r="L25" s="270" t="s">
        <v>166</v>
      </c>
      <c r="M25" s="220" t="s">
        <v>4</v>
      </c>
      <c r="N25" s="220" t="s">
        <v>14</v>
      </c>
      <c r="O25" s="213">
        <v>44900</v>
      </c>
      <c r="P25" s="213">
        <v>44921</v>
      </c>
      <c r="Q25" s="213" t="s">
        <v>114</v>
      </c>
      <c r="R25" s="213" t="s">
        <v>105</v>
      </c>
      <c r="S25" s="213" t="s">
        <v>105</v>
      </c>
      <c r="T25" s="213" t="s">
        <v>105</v>
      </c>
      <c r="U25" s="213">
        <v>44992</v>
      </c>
      <c r="V25" s="213" t="s">
        <v>105</v>
      </c>
      <c r="W25" s="213">
        <v>44992</v>
      </c>
      <c r="X25" s="213">
        <v>45019</v>
      </c>
      <c r="Y25" s="213">
        <v>45019</v>
      </c>
      <c r="Z25" s="253">
        <v>45203</v>
      </c>
      <c r="AA25" s="210" t="s">
        <v>115</v>
      </c>
      <c r="AB25" s="270" t="s">
        <v>164</v>
      </c>
      <c r="AC25" s="270" t="s">
        <v>165</v>
      </c>
      <c r="AD25" s="270" t="s">
        <v>166</v>
      </c>
      <c r="AE25" s="220" t="s">
        <v>12</v>
      </c>
      <c r="AF25" s="210" t="s">
        <v>4</v>
      </c>
      <c r="AG25" s="291">
        <v>13000</v>
      </c>
      <c r="AH25" s="291">
        <v>43000</v>
      </c>
      <c r="AI25" s="214" t="s">
        <v>23</v>
      </c>
      <c r="AJ25" s="230" t="s">
        <v>104</v>
      </c>
      <c r="AK25" s="210" t="s">
        <v>105</v>
      </c>
      <c r="AL25" s="210" t="s">
        <v>24</v>
      </c>
      <c r="AM25" s="210" t="s">
        <v>24</v>
      </c>
      <c r="AN25" s="210" t="s">
        <v>24</v>
      </c>
      <c r="AO25" s="210"/>
      <c r="AP25" s="219" t="s">
        <v>24</v>
      </c>
      <c r="AQ25" s="210" t="s">
        <v>24</v>
      </c>
      <c r="AR25" s="210" t="s">
        <v>24</v>
      </c>
      <c r="AS25" s="210" t="s">
        <v>24</v>
      </c>
      <c r="AT25" s="210" t="s">
        <v>24</v>
      </c>
      <c r="AU25" s="210" t="s">
        <v>24</v>
      </c>
      <c r="AV25" s="210" t="s">
        <v>24</v>
      </c>
      <c r="AW25" s="210" t="s">
        <v>24</v>
      </c>
      <c r="AX25" s="213">
        <v>45019</v>
      </c>
      <c r="AY25" s="213">
        <v>45019</v>
      </c>
      <c r="AZ25" s="253">
        <v>45026</v>
      </c>
      <c r="BA25" s="254" t="s">
        <v>30</v>
      </c>
      <c r="BB25" s="217" t="s">
        <v>105</v>
      </c>
      <c r="BC25" s="218">
        <f t="shared" si="2"/>
        <v>119</v>
      </c>
      <c r="BD25" s="210" t="str">
        <f t="shared" si="0"/>
        <v>AA</v>
      </c>
      <c r="BE25" s="210" t="str">
        <f t="shared" si="1"/>
        <v>NÃO</v>
      </c>
      <c r="BF25" s="210" t="s">
        <v>24</v>
      </c>
      <c r="BG25" s="210" t="s">
        <v>24</v>
      </c>
      <c r="BH25" s="210" t="s">
        <v>24</v>
      </c>
      <c r="BI25" s="210" t="s">
        <v>24</v>
      </c>
      <c r="BJ25" s="210" t="s">
        <v>24</v>
      </c>
      <c r="BK25" s="210" t="s">
        <v>24</v>
      </c>
      <c r="BL25" s="210" t="s">
        <v>24</v>
      </c>
      <c r="BM25" s="265" t="s">
        <v>105</v>
      </c>
      <c r="BN25" s="210"/>
      <c r="BO25" s="210"/>
      <c r="BP25" s="210"/>
      <c r="BQ25" s="210"/>
      <c r="BR25" s="210"/>
      <c r="BS25" s="210"/>
      <c r="BT25" s="210"/>
      <c r="BU25" s="210"/>
      <c r="BV25" s="210"/>
      <c r="BW25" s="210"/>
      <c r="BX25" s="210"/>
      <c r="BY25" s="210"/>
      <c r="BZ25" s="212"/>
      <c r="DP25" s="212"/>
    </row>
    <row r="26" spans="1:120" s="211" customFormat="1" ht="35.25" hidden="1" customHeight="1" x14ac:dyDescent="0.25">
      <c r="A26" s="210">
        <v>13</v>
      </c>
      <c r="B26" s="210" t="s">
        <v>99</v>
      </c>
      <c r="C26" s="220">
        <v>1</v>
      </c>
      <c r="D26" s="210">
        <v>0</v>
      </c>
      <c r="E26" s="210">
        <v>0</v>
      </c>
      <c r="F26" s="270" t="s">
        <v>167</v>
      </c>
      <c r="G26" s="220" t="s">
        <v>1</v>
      </c>
      <c r="H26" s="220" t="s">
        <v>2</v>
      </c>
      <c r="I26" s="210" t="s">
        <v>12</v>
      </c>
      <c r="J26" s="270" t="s">
        <v>168</v>
      </c>
      <c r="K26" s="270" t="s">
        <v>169</v>
      </c>
      <c r="L26" s="270" t="s">
        <v>170</v>
      </c>
      <c r="M26" s="220" t="s">
        <v>4</v>
      </c>
      <c r="N26" s="220" t="s">
        <v>14</v>
      </c>
      <c r="O26" s="213">
        <v>44900</v>
      </c>
      <c r="P26" s="213">
        <v>44921</v>
      </c>
      <c r="Q26" s="213" t="s">
        <v>114</v>
      </c>
      <c r="R26" s="213" t="s">
        <v>105</v>
      </c>
      <c r="S26" s="213" t="s">
        <v>105</v>
      </c>
      <c r="T26" s="213" t="s">
        <v>105</v>
      </c>
      <c r="U26" s="213">
        <v>44992</v>
      </c>
      <c r="V26" s="213" t="s">
        <v>105</v>
      </c>
      <c r="W26" s="213">
        <v>44992</v>
      </c>
      <c r="X26" s="213">
        <v>45019</v>
      </c>
      <c r="Y26" s="213">
        <v>45019</v>
      </c>
      <c r="Z26" s="253">
        <v>45203</v>
      </c>
      <c r="AA26" s="210" t="s">
        <v>115</v>
      </c>
      <c r="AB26" s="270" t="s">
        <v>168</v>
      </c>
      <c r="AC26" s="270" t="s">
        <v>169</v>
      </c>
      <c r="AD26" s="270" t="s">
        <v>170</v>
      </c>
      <c r="AE26" s="220" t="s">
        <v>12</v>
      </c>
      <c r="AF26" s="210" t="s">
        <v>4</v>
      </c>
      <c r="AG26" s="291">
        <v>22700</v>
      </c>
      <c r="AH26" s="291">
        <v>52700</v>
      </c>
      <c r="AI26" s="214" t="s">
        <v>23</v>
      </c>
      <c r="AJ26" s="230" t="s">
        <v>104</v>
      </c>
      <c r="AK26" s="210" t="s">
        <v>105</v>
      </c>
      <c r="AL26" s="210" t="s">
        <v>24</v>
      </c>
      <c r="AM26" s="210" t="s">
        <v>24</v>
      </c>
      <c r="AN26" s="210" t="s">
        <v>24</v>
      </c>
      <c r="AO26" s="210"/>
      <c r="AP26" s="219" t="s">
        <v>24</v>
      </c>
      <c r="AQ26" s="210" t="s">
        <v>24</v>
      </c>
      <c r="AR26" s="210" t="s">
        <v>24</v>
      </c>
      <c r="AS26" s="210" t="s">
        <v>24</v>
      </c>
      <c r="AT26" s="210" t="s">
        <v>24</v>
      </c>
      <c r="AU26" s="210" t="s">
        <v>24</v>
      </c>
      <c r="AV26" s="210" t="s">
        <v>24</v>
      </c>
      <c r="AW26" s="210" t="s">
        <v>24</v>
      </c>
      <c r="AX26" s="213">
        <v>45019</v>
      </c>
      <c r="AY26" s="213">
        <v>45019</v>
      </c>
      <c r="AZ26" s="253">
        <v>45026</v>
      </c>
      <c r="BA26" s="254" t="s">
        <v>30</v>
      </c>
      <c r="BB26" s="217" t="s">
        <v>105</v>
      </c>
      <c r="BC26" s="218">
        <f t="shared" si="2"/>
        <v>119</v>
      </c>
      <c r="BD26" s="210" t="str">
        <f t="shared" si="0"/>
        <v>AA</v>
      </c>
      <c r="BE26" s="210" t="str">
        <f t="shared" si="1"/>
        <v>NÃO</v>
      </c>
      <c r="BF26" s="210" t="s">
        <v>24</v>
      </c>
      <c r="BG26" s="210" t="s">
        <v>24</v>
      </c>
      <c r="BH26" s="210" t="s">
        <v>24</v>
      </c>
      <c r="BI26" s="210" t="s">
        <v>24</v>
      </c>
      <c r="BJ26" s="210" t="s">
        <v>24</v>
      </c>
      <c r="BK26" s="210" t="s">
        <v>24</v>
      </c>
      <c r="BL26" s="210" t="s">
        <v>24</v>
      </c>
      <c r="BM26" s="265" t="s">
        <v>105</v>
      </c>
      <c r="BN26" s="210"/>
      <c r="BO26" s="210"/>
      <c r="BP26" s="210"/>
      <c r="BQ26" s="210"/>
      <c r="BR26" s="210"/>
      <c r="BS26" s="210"/>
      <c r="BT26" s="210"/>
      <c r="BU26" s="210"/>
      <c r="BV26" s="210"/>
      <c r="BW26" s="210"/>
      <c r="BX26" s="210"/>
      <c r="BY26" s="210"/>
      <c r="BZ26" s="212"/>
      <c r="DP26" s="212"/>
    </row>
    <row r="27" spans="1:120" s="211" customFormat="1" ht="35.25" customHeight="1" x14ac:dyDescent="0.25">
      <c r="A27" s="210">
        <v>14</v>
      </c>
      <c r="B27" s="210" t="s">
        <v>99</v>
      </c>
      <c r="C27" s="210">
        <v>1</v>
      </c>
      <c r="D27" s="210">
        <v>0</v>
      </c>
      <c r="E27" s="210">
        <v>0</v>
      </c>
      <c r="F27" s="219" t="s">
        <v>171</v>
      </c>
      <c r="G27" s="210" t="s">
        <v>1</v>
      </c>
      <c r="H27" s="210" t="s">
        <v>2</v>
      </c>
      <c r="I27" s="220" t="s">
        <v>121</v>
      </c>
      <c r="J27" s="273"/>
      <c r="K27" s="274"/>
      <c r="L27" s="274"/>
      <c r="M27" s="241"/>
      <c r="N27" s="241"/>
      <c r="O27" s="213">
        <v>44900</v>
      </c>
      <c r="P27" s="213" t="s">
        <v>24</v>
      </c>
      <c r="Q27" s="213" t="s">
        <v>24</v>
      </c>
      <c r="R27" s="213" t="s">
        <v>24</v>
      </c>
      <c r="S27" s="213" t="s">
        <v>24</v>
      </c>
      <c r="T27" s="213" t="s">
        <v>24</v>
      </c>
      <c r="U27" s="213" t="s">
        <v>24</v>
      </c>
      <c r="V27" s="213" t="s">
        <v>24</v>
      </c>
      <c r="W27" s="213" t="s">
        <v>24</v>
      </c>
      <c r="X27" s="213" t="s">
        <v>24</v>
      </c>
      <c r="Y27" s="213" t="s">
        <v>24</v>
      </c>
      <c r="Z27" s="213" t="s">
        <v>24</v>
      </c>
      <c r="AA27" s="210"/>
      <c r="AB27" s="219" t="s">
        <v>172</v>
      </c>
      <c r="AC27" s="219" t="s">
        <v>173</v>
      </c>
      <c r="AD27" s="219" t="s">
        <v>174</v>
      </c>
      <c r="AE27" s="220" t="s">
        <v>3</v>
      </c>
      <c r="AF27" s="210" t="s">
        <v>4</v>
      </c>
      <c r="AG27" s="230">
        <v>21400</v>
      </c>
      <c r="AH27" s="230">
        <v>51400</v>
      </c>
      <c r="AI27" s="214" t="s">
        <v>6</v>
      </c>
      <c r="AJ27" s="230" t="s">
        <v>104</v>
      </c>
      <c r="AK27" s="210" t="s">
        <v>105</v>
      </c>
      <c r="AL27" s="210" t="s">
        <v>105</v>
      </c>
      <c r="AM27" s="210" t="s">
        <v>105</v>
      </c>
      <c r="AN27" s="210" t="s">
        <v>106</v>
      </c>
      <c r="AO27" s="210"/>
      <c r="AP27" s="219" t="s">
        <v>175</v>
      </c>
      <c r="AQ27" s="210" t="s">
        <v>105</v>
      </c>
      <c r="AR27" s="210" t="s">
        <v>105</v>
      </c>
      <c r="AS27" s="210" t="s">
        <v>105</v>
      </c>
      <c r="AT27" s="210" t="s">
        <v>105</v>
      </c>
      <c r="AU27" s="213">
        <v>44966</v>
      </c>
      <c r="AV27" s="210" t="s">
        <v>105</v>
      </c>
      <c r="AW27" s="210" t="s">
        <v>105</v>
      </c>
      <c r="AX27" s="213">
        <v>45012</v>
      </c>
      <c r="AY27" s="213">
        <v>45012</v>
      </c>
      <c r="AZ27" s="213">
        <v>45035</v>
      </c>
      <c r="BA27" s="210" t="s">
        <v>30</v>
      </c>
      <c r="BB27" s="217" t="s">
        <v>105</v>
      </c>
      <c r="BC27" s="218">
        <f t="shared" si="2"/>
        <v>112</v>
      </c>
      <c r="BD27" s="210" t="str">
        <f t="shared" si="0"/>
        <v>INDENIZAÇÃO</v>
      </c>
      <c r="BE27" s="210" t="str">
        <f t="shared" si="1"/>
        <v>NÃO</v>
      </c>
      <c r="BF27" s="210" t="s">
        <v>24</v>
      </c>
      <c r="BG27" s="210" t="s">
        <v>24</v>
      </c>
      <c r="BH27" s="210" t="s">
        <v>24</v>
      </c>
      <c r="BI27" s="210" t="s">
        <v>105</v>
      </c>
      <c r="BJ27" s="210" t="s">
        <v>105</v>
      </c>
      <c r="BK27" s="253">
        <v>45190</v>
      </c>
      <c r="BL27" s="210" t="s">
        <v>105</v>
      </c>
      <c r="BM27" s="265" t="s">
        <v>105</v>
      </c>
      <c r="BN27" s="210"/>
      <c r="BO27" s="210"/>
      <c r="BP27" s="210"/>
      <c r="BQ27" s="210"/>
      <c r="BR27" s="210"/>
      <c r="BS27" s="210"/>
      <c r="BT27" s="210"/>
      <c r="BU27" s="210"/>
      <c r="BV27" s="210"/>
      <c r="BW27" s="210"/>
      <c r="BX27" s="210"/>
      <c r="BY27" s="210"/>
      <c r="BZ27" s="212"/>
      <c r="DP27" s="212"/>
    </row>
    <row r="28" spans="1:120" s="222" customFormat="1" ht="35.25" hidden="1" customHeight="1" x14ac:dyDescent="0.25">
      <c r="A28" s="210">
        <v>15</v>
      </c>
      <c r="B28" s="210" t="s">
        <v>99</v>
      </c>
      <c r="C28" s="220">
        <v>1</v>
      </c>
      <c r="D28" s="210">
        <v>0</v>
      </c>
      <c r="E28" s="210">
        <v>0</v>
      </c>
      <c r="F28" s="270" t="s">
        <v>176</v>
      </c>
      <c r="G28" s="220" t="s">
        <v>1</v>
      </c>
      <c r="H28" s="220" t="s">
        <v>2</v>
      </c>
      <c r="I28" s="220" t="s">
        <v>121</v>
      </c>
      <c r="J28" s="270" t="s">
        <v>177</v>
      </c>
      <c r="K28" s="270" t="s">
        <v>178</v>
      </c>
      <c r="L28" s="270" t="s">
        <v>179</v>
      </c>
      <c r="M28" s="220" t="s">
        <v>4</v>
      </c>
      <c r="N28" s="220" t="s">
        <v>14</v>
      </c>
      <c r="O28" s="213">
        <v>44900</v>
      </c>
      <c r="P28" s="213">
        <v>44921</v>
      </c>
      <c r="Q28" s="213" t="s">
        <v>114</v>
      </c>
      <c r="R28" s="213" t="s">
        <v>105</v>
      </c>
      <c r="S28" s="213" t="s">
        <v>105</v>
      </c>
      <c r="T28" s="213" t="s">
        <v>105</v>
      </c>
      <c r="U28" s="213">
        <v>44992</v>
      </c>
      <c r="V28" s="213" t="s">
        <v>105</v>
      </c>
      <c r="W28" s="213">
        <v>44992</v>
      </c>
      <c r="X28" s="213">
        <v>45019</v>
      </c>
      <c r="Y28" s="213">
        <v>45019</v>
      </c>
      <c r="Z28" s="213">
        <v>45034</v>
      </c>
      <c r="AA28" s="210" t="s">
        <v>115</v>
      </c>
      <c r="AB28" s="270" t="s">
        <v>172</v>
      </c>
      <c r="AC28" s="270" t="s">
        <v>173</v>
      </c>
      <c r="AD28" s="270" t="s">
        <v>174</v>
      </c>
      <c r="AE28" s="220" t="s">
        <v>3</v>
      </c>
      <c r="AF28" s="210" t="s">
        <v>24</v>
      </c>
      <c r="AG28" s="291">
        <v>18700</v>
      </c>
      <c r="AH28" s="291">
        <v>48700</v>
      </c>
      <c r="AI28" s="214" t="s">
        <v>180</v>
      </c>
      <c r="AJ28" s="230" t="s">
        <v>104</v>
      </c>
      <c r="AK28" s="210" t="s">
        <v>24</v>
      </c>
      <c r="AL28" s="210" t="s">
        <v>24</v>
      </c>
      <c r="AM28" s="210" t="s">
        <v>24</v>
      </c>
      <c r="AN28" s="210" t="s">
        <v>24</v>
      </c>
      <c r="AO28" s="210"/>
      <c r="AP28" s="219" t="s">
        <v>24</v>
      </c>
      <c r="AQ28" s="210" t="s">
        <v>24</v>
      </c>
      <c r="AR28" s="210" t="s">
        <v>24</v>
      </c>
      <c r="AS28" s="210" t="s">
        <v>24</v>
      </c>
      <c r="AT28" s="210" t="s">
        <v>24</v>
      </c>
      <c r="AU28" s="210" t="s">
        <v>24</v>
      </c>
      <c r="AV28" s="210" t="s">
        <v>24</v>
      </c>
      <c r="AW28" s="210" t="s">
        <v>24</v>
      </c>
      <c r="AX28" s="210" t="s">
        <v>24</v>
      </c>
      <c r="AY28" s="210" t="s">
        <v>24</v>
      </c>
      <c r="AZ28" s="213">
        <v>45034</v>
      </c>
      <c r="BA28" s="210" t="s">
        <v>30</v>
      </c>
      <c r="BB28" s="217" t="s">
        <v>105</v>
      </c>
      <c r="BC28" s="218" t="s">
        <v>24</v>
      </c>
      <c r="BD28" s="210" t="str">
        <f t="shared" si="0"/>
        <v>INDENIZAÇÃO</v>
      </c>
      <c r="BE28" s="210" t="str">
        <f t="shared" si="1"/>
        <v>NÃO</v>
      </c>
      <c r="BF28" s="210" t="s">
        <v>24</v>
      </c>
      <c r="BG28" s="210" t="s">
        <v>24</v>
      </c>
      <c r="BH28" s="210" t="s">
        <v>24</v>
      </c>
      <c r="BI28" s="210" t="s">
        <v>24</v>
      </c>
      <c r="BJ28" s="210" t="s">
        <v>24</v>
      </c>
      <c r="BK28" s="210" t="s">
        <v>24</v>
      </c>
      <c r="BL28" s="210" t="s">
        <v>24</v>
      </c>
      <c r="BM28" s="251" t="s">
        <v>105</v>
      </c>
      <c r="BN28" s="210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23"/>
      <c r="DP28" s="223"/>
    </row>
    <row r="29" spans="1:120" s="211" customFormat="1" ht="35.25" customHeight="1" x14ac:dyDescent="0.25">
      <c r="A29" s="210">
        <v>16</v>
      </c>
      <c r="B29" s="210" t="s">
        <v>99</v>
      </c>
      <c r="C29" s="220">
        <v>1</v>
      </c>
      <c r="D29" s="210">
        <v>0</v>
      </c>
      <c r="E29" s="210">
        <v>0</v>
      </c>
      <c r="F29" s="270" t="s">
        <v>181</v>
      </c>
      <c r="G29" s="220" t="s">
        <v>1</v>
      </c>
      <c r="H29" s="220" t="s">
        <v>2</v>
      </c>
      <c r="I29" s="220" t="s">
        <v>121</v>
      </c>
      <c r="J29" s="270" t="s">
        <v>182</v>
      </c>
      <c r="K29" s="270" t="s">
        <v>183</v>
      </c>
      <c r="L29" s="270" t="s">
        <v>184</v>
      </c>
      <c r="M29" s="220" t="s">
        <v>4</v>
      </c>
      <c r="N29" s="220" t="s">
        <v>14</v>
      </c>
      <c r="O29" s="213">
        <v>44900</v>
      </c>
      <c r="P29" s="213">
        <v>44921</v>
      </c>
      <c r="Q29" s="213" t="s">
        <v>114</v>
      </c>
      <c r="R29" s="213" t="s">
        <v>105</v>
      </c>
      <c r="S29" s="213" t="s">
        <v>105</v>
      </c>
      <c r="T29" s="213" t="s">
        <v>105</v>
      </c>
      <c r="U29" s="213">
        <v>44992</v>
      </c>
      <c r="V29" s="213" t="s">
        <v>105</v>
      </c>
      <c r="W29" s="213">
        <v>44992</v>
      </c>
      <c r="X29" s="213">
        <v>45019</v>
      </c>
      <c r="Y29" s="213">
        <v>45019</v>
      </c>
      <c r="Z29" s="213">
        <v>45040</v>
      </c>
      <c r="AA29" s="210" t="s">
        <v>115</v>
      </c>
      <c r="AB29" s="270" t="s">
        <v>185</v>
      </c>
      <c r="AC29" s="270" t="s">
        <v>186</v>
      </c>
      <c r="AD29" s="270" t="s">
        <v>187</v>
      </c>
      <c r="AE29" s="220" t="s">
        <v>3</v>
      </c>
      <c r="AF29" s="210" t="s">
        <v>4</v>
      </c>
      <c r="AG29" s="291">
        <v>35900</v>
      </c>
      <c r="AH29" s="291">
        <v>60000</v>
      </c>
      <c r="AI29" s="214" t="s">
        <v>6</v>
      </c>
      <c r="AJ29" s="230" t="s">
        <v>104</v>
      </c>
      <c r="AK29" s="210" t="s">
        <v>105</v>
      </c>
      <c r="AL29" s="210" t="s">
        <v>105</v>
      </c>
      <c r="AM29" s="210" t="s">
        <v>105</v>
      </c>
      <c r="AN29" s="210" t="s">
        <v>106</v>
      </c>
      <c r="AO29" s="225" t="s">
        <v>188</v>
      </c>
      <c r="AP29" s="219" t="s">
        <v>189</v>
      </c>
      <c r="AQ29" s="210" t="s">
        <v>105</v>
      </c>
      <c r="AR29" s="210" t="s">
        <v>105</v>
      </c>
      <c r="AS29" s="210" t="s">
        <v>105</v>
      </c>
      <c r="AT29" s="210" t="s">
        <v>105</v>
      </c>
      <c r="AU29" s="213">
        <v>45014</v>
      </c>
      <c r="AV29" s="210" t="s">
        <v>105</v>
      </c>
      <c r="AW29" s="210" t="s">
        <v>105</v>
      </c>
      <c r="AX29" s="213">
        <v>45022</v>
      </c>
      <c r="AY29" s="213">
        <v>45022</v>
      </c>
      <c r="AZ29" s="213">
        <v>45040</v>
      </c>
      <c r="BA29" s="210" t="s">
        <v>30</v>
      </c>
      <c r="BB29" s="217" t="s">
        <v>105</v>
      </c>
      <c r="BC29" s="218">
        <f t="shared" ref="BC29:BC34" si="3">IF(AY29-ON29=0,"",AY29-O29)</f>
        <v>122</v>
      </c>
      <c r="BD29" s="210" t="str">
        <f t="shared" si="0"/>
        <v>INDENIZAÇÃO</v>
      </c>
      <c r="BE29" s="210" t="str">
        <f t="shared" si="1"/>
        <v>NÃO</v>
      </c>
      <c r="BF29" s="210" t="s">
        <v>24</v>
      </c>
      <c r="BG29" s="210" t="s">
        <v>24</v>
      </c>
      <c r="BH29" s="210" t="s">
        <v>24</v>
      </c>
      <c r="BI29" s="210" t="s">
        <v>105</v>
      </c>
      <c r="BJ29" s="210" t="s">
        <v>105</v>
      </c>
      <c r="BK29" s="253">
        <v>45190</v>
      </c>
      <c r="BL29" s="210" t="s">
        <v>105</v>
      </c>
      <c r="BM29" s="266" t="s">
        <v>105</v>
      </c>
      <c r="BN29" s="210"/>
      <c r="BO29" s="210"/>
      <c r="BP29" s="210"/>
      <c r="BQ29" s="210"/>
      <c r="BR29" s="210"/>
      <c r="BS29" s="210"/>
      <c r="BT29" s="210"/>
      <c r="BU29" s="210"/>
      <c r="BV29" s="210"/>
      <c r="BW29" s="210"/>
      <c r="BX29" s="210"/>
      <c r="BY29" s="210"/>
      <c r="BZ29" s="212"/>
      <c r="DP29" s="212"/>
    </row>
    <row r="30" spans="1:120" s="211" customFormat="1" ht="35.25" hidden="1" customHeight="1" x14ac:dyDescent="0.25">
      <c r="A30" s="210">
        <v>17</v>
      </c>
      <c r="B30" s="210" t="s">
        <v>99</v>
      </c>
      <c r="C30" s="220">
        <v>1</v>
      </c>
      <c r="D30" s="210">
        <v>0</v>
      </c>
      <c r="E30" s="210">
        <v>0</v>
      </c>
      <c r="F30" s="270" t="s">
        <v>190</v>
      </c>
      <c r="G30" s="220" t="s">
        <v>1</v>
      </c>
      <c r="H30" s="220" t="s">
        <v>2</v>
      </c>
      <c r="I30" s="210" t="s">
        <v>12</v>
      </c>
      <c r="J30" s="270" t="s">
        <v>191</v>
      </c>
      <c r="K30" s="270" t="s">
        <v>192</v>
      </c>
      <c r="L30" s="270" t="s">
        <v>193</v>
      </c>
      <c r="M30" s="220" t="s">
        <v>4</v>
      </c>
      <c r="N30" s="220" t="s">
        <v>14</v>
      </c>
      <c r="O30" s="213">
        <v>44900</v>
      </c>
      <c r="P30" s="213">
        <v>44921</v>
      </c>
      <c r="Q30" s="213" t="s">
        <v>114</v>
      </c>
      <c r="R30" s="213" t="s">
        <v>105</v>
      </c>
      <c r="S30" s="213" t="s">
        <v>105</v>
      </c>
      <c r="T30" s="213" t="s">
        <v>105</v>
      </c>
      <c r="U30" s="213">
        <v>44992</v>
      </c>
      <c r="V30" s="213" t="s">
        <v>105</v>
      </c>
      <c r="W30" s="213">
        <v>44992</v>
      </c>
      <c r="X30" s="213">
        <v>45019</v>
      </c>
      <c r="Y30" s="213">
        <v>45019</v>
      </c>
      <c r="Z30" s="213">
        <v>45049</v>
      </c>
      <c r="AA30" s="210" t="s">
        <v>115</v>
      </c>
      <c r="AB30" s="270" t="s">
        <v>191</v>
      </c>
      <c r="AC30" s="270" t="s">
        <v>192</v>
      </c>
      <c r="AD30" s="270" t="s">
        <v>193</v>
      </c>
      <c r="AE30" s="220" t="s">
        <v>12</v>
      </c>
      <c r="AF30" s="210" t="s">
        <v>4</v>
      </c>
      <c r="AG30" s="291">
        <v>20500</v>
      </c>
      <c r="AH30" s="291">
        <v>50500</v>
      </c>
      <c r="AI30" s="214" t="s">
        <v>23</v>
      </c>
      <c r="AJ30" s="230" t="s">
        <v>104</v>
      </c>
      <c r="AK30" s="210" t="s">
        <v>105</v>
      </c>
      <c r="AL30" s="210" t="s">
        <v>24</v>
      </c>
      <c r="AM30" s="210" t="s">
        <v>24</v>
      </c>
      <c r="AN30" s="210" t="s">
        <v>24</v>
      </c>
      <c r="AO30" s="210"/>
      <c r="AP30" s="219" t="s">
        <v>24</v>
      </c>
      <c r="AQ30" s="210" t="s">
        <v>24</v>
      </c>
      <c r="AR30" s="210" t="s">
        <v>24</v>
      </c>
      <c r="AS30" s="210" t="s">
        <v>24</v>
      </c>
      <c r="AT30" s="210" t="s">
        <v>24</v>
      </c>
      <c r="AU30" s="210" t="s">
        <v>24</v>
      </c>
      <c r="AV30" s="210" t="s">
        <v>24</v>
      </c>
      <c r="AW30" s="210" t="s">
        <v>24</v>
      </c>
      <c r="AX30" s="213">
        <v>45019</v>
      </c>
      <c r="AY30" s="213">
        <v>45019</v>
      </c>
      <c r="AZ30" s="213">
        <v>45049</v>
      </c>
      <c r="BA30" s="210" t="s">
        <v>30</v>
      </c>
      <c r="BB30" s="217" t="s">
        <v>105</v>
      </c>
      <c r="BC30" s="218">
        <f t="shared" si="3"/>
        <v>119</v>
      </c>
      <c r="BD30" s="210" t="str">
        <f t="shared" si="0"/>
        <v>AA</v>
      </c>
      <c r="BE30" s="210" t="str">
        <f t="shared" si="1"/>
        <v>NÃO</v>
      </c>
      <c r="BF30" s="210" t="s">
        <v>24</v>
      </c>
      <c r="BG30" s="210" t="s">
        <v>24</v>
      </c>
      <c r="BH30" s="210" t="s">
        <v>24</v>
      </c>
      <c r="BI30" s="210" t="s">
        <v>24</v>
      </c>
      <c r="BJ30" s="210" t="s">
        <v>24</v>
      </c>
      <c r="BK30" s="210" t="s">
        <v>24</v>
      </c>
      <c r="BL30" s="210" t="s">
        <v>24</v>
      </c>
      <c r="BM30" s="265" t="s">
        <v>105</v>
      </c>
      <c r="BN30" s="210"/>
      <c r="BO30" s="210"/>
      <c r="BP30" s="210"/>
      <c r="BQ30" s="210"/>
      <c r="BR30" s="210"/>
      <c r="BS30" s="210"/>
      <c r="BT30" s="210"/>
      <c r="BU30" s="210"/>
      <c r="BV30" s="210"/>
      <c r="BW30" s="210"/>
      <c r="BX30" s="210"/>
      <c r="BY30" s="210"/>
      <c r="BZ30" s="212"/>
      <c r="DP30" s="212"/>
    </row>
    <row r="31" spans="1:120" s="211" customFormat="1" ht="35.25" customHeight="1" x14ac:dyDescent="0.25">
      <c r="A31" s="210">
        <v>18</v>
      </c>
      <c r="B31" s="210" t="s">
        <v>99</v>
      </c>
      <c r="C31" s="220">
        <v>1</v>
      </c>
      <c r="D31" s="210">
        <v>0</v>
      </c>
      <c r="E31" s="210">
        <v>0</v>
      </c>
      <c r="F31" s="270" t="s">
        <v>194</v>
      </c>
      <c r="G31" s="220" t="s">
        <v>1</v>
      </c>
      <c r="H31" s="220" t="s">
        <v>2</v>
      </c>
      <c r="I31" s="210" t="s">
        <v>12</v>
      </c>
      <c r="J31" s="270" t="s">
        <v>195</v>
      </c>
      <c r="K31" s="270" t="s">
        <v>196</v>
      </c>
      <c r="L31" s="270" t="s">
        <v>197</v>
      </c>
      <c r="M31" s="220" t="s">
        <v>4</v>
      </c>
      <c r="N31" s="220" t="s">
        <v>5</v>
      </c>
      <c r="O31" s="213">
        <v>44900</v>
      </c>
      <c r="P31" s="213" t="s">
        <v>24</v>
      </c>
      <c r="Q31" s="213" t="s">
        <v>24</v>
      </c>
      <c r="R31" s="213" t="s">
        <v>24</v>
      </c>
      <c r="S31" s="213" t="s">
        <v>24</v>
      </c>
      <c r="T31" s="213" t="s">
        <v>24</v>
      </c>
      <c r="U31" s="213" t="s">
        <v>24</v>
      </c>
      <c r="V31" s="213" t="s">
        <v>24</v>
      </c>
      <c r="W31" s="213" t="s">
        <v>24</v>
      </c>
      <c r="X31" s="213" t="s">
        <v>24</v>
      </c>
      <c r="Y31" s="213" t="s">
        <v>24</v>
      </c>
      <c r="Z31" s="213" t="s">
        <v>24</v>
      </c>
      <c r="AA31" s="210"/>
      <c r="AB31" s="270" t="s">
        <v>195</v>
      </c>
      <c r="AC31" s="270" t="s">
        <v>196</v>
      </c>
      <c r="AD31" s="270" t="s">
        <v>197</v>
      </c>
      <c r="AE31" s="220" t="s">
        <v>12</v>
      </c>
      <c r="AF31" s="210" t="s">
        <v>4</v>
      </c>
      <c r="AG31" s="291">
        <v>20700</v>
      </c>
      <c r="AH31" s="291">
        <v>50700</v>
      </c>
      <c r="AI31" s="214" t="s">
        <v>6</v>
      </c>
      <c r="AJ31" s="230" t="s">
        <v>104</v>
      </c>
      <c r="AK31" s="210" t="s">
        <v>105</v>
      </c>
      <c r="AL31" s="210" t="s">
        <v>105</v>
      </c>
      <c r="AM31" s="210" t="s">
        <v>105</v>
      </c>
      <c r="AN31" s="210" t="s">
        <v>106</v>
      </c>
      <c r="AO31" s="210"/>
      <c r="AP31" s="219" t="s">
        <v>198</v>
      </c>
      <c r="AQ31" s="210" t="s">
        <v>105</v>
      </c>
      <c r="AR31" s="210" t="s">
        <v>105</v>
      </c>
      <c r="AS31" s="210" t="s">
        <v>105</v>
      </c>
      <c r="AT31" s="210" t="s">
        <v>105</v>
      </c>
      <c r="AU31" s="213">
        <v>44966</v>
      </c>
      <c r="AV31" s="210" t="s">
        <v>105</v>
      </c>
      <c r="AW31" s="210" t="s">
        <v>105</v>
      </c>
      <c r="AX31" s="213">
        <v>45012</v>
      </c>
      <c r="AY31" s="213">
        <v>45012</v>
      </c>
      <c r="AZ31" s="213">
        <v>45048</v>
      </c>
      <c r="BA31" s="210" t="s">
        <v>30</v>
      </c>
      <c r="BB31" s="217" t="s">
        <v>105</v>
      </c>
      <c r="BC31" s="218">
        <f t="shared" si="3"/>
        <v>112</v>
      </c>
      <c r="BD31" s="210" t="str">
        <f t="shared" si="0"/>
        <v>INDENIZAÇÃO</v>
      </c>
      <c r="BE31" s="210" t="str">
        <f t="shared" si="1"/>
        <v>NÃO</v>
      </c>
      <c r="BF31" s="210" t="s">
        <v>24</v>
      </c>
      <c r="BG31" s="210" t="s">
        <v>24</v>
      </c>
      <c r="BH31" s="210" t="s">
        <v>24</v>
      </c>
      <c r="BI31" s="210" t="s">
        <v>105</v>
      </c>
      <c r="BJ31" s="210" t="s">
        <v>105</v>
      </c>
      <c r="BK31" s="253">
        <v>45190</v>
      </c>
      <c r="BL31" s="210" t="s">
        <v>105</v>
      </c>
      <c r="BM31" s="265" t="s">
        <v>105</v>
      </c>
      <c r="BN31" s="210"/>
      <c r="BO31" s="210"/>
      <c r="BP31" s="210"/>
      <c r="BQ31" s="210"/>
      <c r="BR31" s="210"/>
      <c r="BS31" s="210"/>
      <c r="BT31" s="210"/>
      <c r="BU31" s="210"/>
      <c r="BV31" s="210"/>
      <c r="BW31" s="210"/>
      <c r="BX31" s="210"/>
      <c r="BY31" s="210"/>
      <c r="BZ31" s="212"/>
      <c r="DP31" s="212"/>
    </row>
    <row r="32" spans="1:120" s="211" customFormat="1" ht="35.25" customHeight="1" x14ac:dyDescent="0.25">
      <c r="A32" s="210">
        <v>19</v>
      </c>
      <c r="B32" s="210" t="s">
        <v>99</v>
      </c>
      <c r="C32" s="220">
        <v>1</v>
      </c>
      <c r="D32" s="210">
        <v>0</v>
      </c>
      <c r="E32" s="210">
        <v>0</v>
      </c>
      <c r="F32" s="270" t="s">
        <v>199</v>
      </c>
      <c r="G32" s="220" t="s">
        <v>1</v>
      </c>
      <c r="H32" s="220" t="s">
        <v>2</v>
      </c>
      <c r="I32" s="210" t="s">
        <v>12</v>
      </c>
      <c r="J32" s="271" t="s">
        <v>200</v>
      </c>
      <c r="K32" s="270" t="s">
        <v>201</v>
      </c>
      <c r="L32" s="270" t="s">
        <v>202</v>
      </c>
      <c r="M32" s="220" t="s">
        <v>4</v>
      </c>
      <c r="N32" s="220" t="s">
        <v>5</v>
      </c>
      <c r="O32" s="213">
        <v>44900</v>
      </c>
      <c r="P32" s="213" t="s">
        <v>24</v>
      </c>
      <c r="Q32" s="213" t="s">
        <v>24</v>
      </c>
      <c r="R32" s="213" t="s">
        <v>24</v>
      </c>
      <c r="S32" s="213" t="s">
        <v>24</v>
      </c>
      <c r="T32" s="213" t="s">
        <v>24</v>
      </c>
      <c r="U32" s="213" t="s">
        <v>24</v>
      </c>
      <c r="V32" s="213" t="s">
        <v>24</v>
      </c>
      <c r="W32" s="213" t="s">
        <v>24</v>
      </c>
      <c r="X32" s="213" t="s">
        <v>24</v>
      </c>
      <c r="Y32" s="213" t="s">
        <v>24</v>
      </c>
      <c r="Z32" s="213" t="s">
        <v>24</v>
      </c>
      <c r="AA32" s="210"/>
      <c r="AB32" s="271" t="s">
        <v>200</v>
      </c>
      <c r="AC32" s="270" t="s">
        <v>201</v>
      </c>
      <c r="AD32" s="270" t="s">
        <v>202</v>
      </c>
      <c r="AE32" s="220" t="s">
        <v>12</v>
      </c>
      <c r="AF32" s="210" t="s">
        <v>4</v>
      </c>
      <c r="AG32" s="291">
        <v>19800</v>
      </c>
      <c r="AH32" s="291">
        <v>39800</v>
      </c>
      <c r="AI32" s="214" t="s">
        <v>6</v>
      </c>
      <c r="AJ32" s="230" t="s">
        <v>104</v>
      </c>
      <c r="AK32" s="210" t="s">
        <v>105</v>
      </c>
      <c r="AL32" s="210" t="s">
        <v>105</v>
      </c>
      <c r="AM32" s="210" t="s">
        <v>105</v>
      </c>
      <c r="AN32" s="210" t="s">
        <v>106</v>
      </c>
      <c r="AO32" s="210"/>
      <c r="AP32" s="219" t="s">
        <v>203</v>
      </c>
      <c r="AQ32" s="210" t="s">
        <v>105</v>
      </c>
      <c r="AR32" s="210" t="s">
        <v>105</v>
      </c>
      <c r="AS32" s="210" t="s">
        <v>105</v>
      </c>
      <c r="AT32" s="210" t="s">
        <v>105</v>
      </c>
      <c r="AU32" s="213">
        <v>44966</v>
      </c>
      <c r="AV32" s="210" t="s">
        <v>105</v>
      </c>
      <c r="AW32" s="210" t="s">
        <v>105</v>
      </c>
      <c r="AX32" s="213">
        <v>45012</v>
      </c>
      <c r="AY32" s="213">
        <v>45012</v>
      </c>
      <c r="AZ32" s="213">
        <v>45042</v>
      </c>
      <c r="BA32" s="210" t="s">
        <v>30</v>
      </c>
      <c r="BB32" s="217" t="s">
        <v>105</v>
      </c>
      <c r="BC32" s="218">
        <f t="shared" si="3"/>
        <v>112</v>
      </c>
      <c r="BD32" s="210" t="str">
        <f t="shared" si="0"/>
        <v>INDENIZAÇÃO</v>
      </c>
      <c r="BE32" s="210" t="str">
        <f t="shared" si="1"/>
        <v>NÃO</v>
      </c>
      <c r="BF32" s="210" t="s">
        <v>24</v>
      </c>
      <c r="BG32" s="210" t="s">
        <v>24</v>
      </c>
      <c r="BH32" s="210" t="s">
        <v>24</v>
      </c>
      <c r="BI32" s="254" t="s">
        <v>105</v>
      </c>
      <c r="BJ32" s="254" t="s">
        <v>105</v>
      </c>
      <c r="BK32" s="253">
        <v>45190</v>
      </c>
      <c r="BL32" s="254" t="s">
        <v>105</v>
      </c>
      <c r="BM32" s="265" t="s">
        <v>105</v>
      </c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2"/>
      <c r="DP32" s="212"/>
    </row>
    <row r="33" spans="1:120" s="211" customFormat="1" ht="35.25" customHeight="1" x14ac:dyDescent="0.25">
      <c r="A33" s="210">
        <v>20</v>
      </c>
      <c r="B33" s="210" t="s">
        <v>99</v>
      </c>
      <c r="C33" s="220">
        <v>1</v>
      </c>
      <c r="D33" s="210">
        <v>0</v>
      </c>
      <c r="E33" s="210">
        <v>0</v>
      </c>
      <c r="F33" s="271" t="s">
        <v>204</v>
      </c>
      <c r="G33" s="220" t="s">
        <v>1</v>
      </c>
      <c r="H33" s="220" t="s">
        <v>2</v>
      </c>
      <c r="I33" s="210" t="s">
        <v>12</v>
      </c>
      <c r="J33" s="270" t="s">
        <v>205</v>
      </c>
      <c r="K33" s="270" t="s">
        <v>206</v>
      </c>
      <c r="L33" s="270" t="s">
        <v>207</v>
      </c>
      <c r="M33" s="220" t="s">
        <v>4</v>
      </c>
      <c r="N33" s="220" t="s">
        <v>5</v>
      </c>
      <c r="O33" s="213">
        <v>44900</v>
      </c>
      <c r="P33" s="213" t="s">
        <v>24</v>
      </c>
      <c r="Q33" s="213" t="s">
        <v>24</v>
      </c>
      <c r="R33" s="213" t="s">
        <v>24</v>
      </c>
      <c r="S33" s="213" t="s">
        <v>24</v>
      </c>
      <c r="T33" s="213" t="s">
        <v>24</v>
      </c>
      <c r="U33" s="213" t="s">
        <v>24</v>
      </c>
      <c r="V33" s="213" t="s">
        <v>24</v>
      </c>
      <c r="W33" s="213" t="s">
        <v>24</v>
      </c>
      <c r="X33" s="213" t="s">
        <v>24</v>
      </c>
      <c r="Y33" s="213" t="s">
        <v>24</v>
      </c>
      <c r="Z33" s="213" t="s">
        <v>24</v>
      </c>
      <c r="AA33" s="210"/>
      <c r="AB33" s="270" t="s">
        <v>205</v>
      </c>
      <c r="AC33" s="270" t="s">
        <v>206</v>
      </c>
      <c r="AD33" s="270" t="s">
        <v>208</v>
      </c>
      <c r="AE33" s="220" t="s">
        <v>12</v>
      </c>
      <c r="AF33" s="210" t="s">
        <v>4</v>
      </c>
      <c r="AG33" s="291">
        <v>92800</v>
      </c>
      <c r="AH33" s="291">
        <v>92800</v>
      </c>
      <c r="AI33" s="214" t="s">
        <v>6</v>
      </c>
      <c r="AJ33" s="230" t="s">
        <v>104</v>
      </c>
      <c r="AK33" s="210" t="s">
        <v>105</v>
      </c>
      <c r="AL33" s="210" t="s">
        <v>105</v>
      </c>
      <c r="AM33" s="210" t="s">
        <v>105</v>
      </c>
      <c r="AN33" s="210" t="s">
        <v>106</v>
      </c>
      <c r="AO33" s="225"/>
      <c r="AP33" s="219" t="s">
        <v>209</v>
      </c>
      <c r="AQ33" s="210" t="s">
        <v>105</v>
      </c>
      <c r="AR33" s="210" t="s">
        <v>105</v>
      </c>
      <c r="AS33" s="210" t="s">
        <v>105</v>
      </c>
      <c r="AT33" s="210" t="s">
        <v>105</v>
      </c>
      <c r="AU33" s="213">
        <v>44966</v>
      </c>
      <c r="AV33" s="210" t="s">
        <v>105</v>
      </c>
      <c r="AW33" s="210" t="s">
        <v>105</v>
      </c>
      <c r="AX33" s="213">
        <v>45012</v>
      </c>
      <c r="AY33" s="213">
        <v>45012</v>
      </c>
      <c r="AZ33" s="213">
        <v>45040</v>
      </c>
      <c r="BA33" s="210" t="s">
        <v>30</v>
      </c>
      <c r="BB33" s="217" t="s">
        <v>105</v>
      </c>
      <c r="BC33" s="218">
        <f t="shared" si="3"/>
        <v>112</v>
      </c>
      <c r="BD33" s="210" t="str">
        <f t="shared" si="0"/>
        <v>INDENIZAÇÃO</v>
      </c>
      <c r="BE33" s="210" t="str">
        <f t="shared" si="1"/>
        <v>NÃO</v>
      </c>
      <c r="BF33" s="210" t="s">
        <v>24</v>
      </c>
      <c r="BG33" s="210" t="s">
        <v>24</v>
      </c>
      <c r="BH33" s="210" t="s">
        <v>24</v>
      </c>
      <c r="BI33" s="210" t="s">
        <v>105</v>
      </c>
      <c r="BJ33" s="210" t="s">
        <v>105</v>
      </c>
      <c r="BK33" s="253">
        <v>45190</v>
      </c>
      <c r="BL33" s="210" t="s">
        <v>105</v>
      </c>
      <c r="BM33" s="265" t="s">
        <v>105</v>
      </c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2"/>
      <c r="DP33" s="212"/>
    </row>
    <row r="34" spans="1:120" s="211" customFormat="1" ht="35.25" customHeight="1" x14ac:dyDescent="0.25">
      <c r="A34" s="210">
        <v>21</v>
      </c>
      <c r="B34" s="210" t="s">
        <v>99</v>
      </c>
      <c r="C34" s="220">
        <v>1</v>
      </c>
      <c r="D34" s="210">
        <v>0</v>
      </c>
      <c r="E34" s="210">
        <v>0</v>
      </c>
      <c r="F34" s="271" t="s">
        <v>210</v>
      </c>
      <c r="G34" s="220" t="s">
        <v>1</v>
      </c>
      <c r="H34" s="220" t="s">
        <v>2</v>
      </c>
      <c r="I34" s="210" t="s">
        <v>12</v>
      </c>
      <c r="J34" s="270" t="s">
        <v>211</v>
      </c>
      <c r="K34" s="270" t="s">
        <v>212</v>
      </c>
      <c r="L34" s="270" t="s">
        <v>213</v>
      </c>
      <c r="M34" s="220" t="s">
        <v>4</v>
      </c>
      <c r="N34" s="220" t="s">
        <v>5</v>
      </c>
      <c r="O34" s="213">
        <v>44900</v>
      </c>
      <c r="P34" s="213" t="s">
        <v>24</v>
      </c>
      <c r="Q34" s="213" t="s">
        <v>24</v>
      </c>
      <c r="R34" s="213" t="s">
        <v>24</v>
      </c>
      <c r="S34" s="213" t="s">
        <v>24</v>
      </c>
      <c r="T34" s="213" t="s">
        <v>24</v>
      </c>
      <c r="U34" s="213" t="s">
        <v>24</v>
      </c>
      <c r="V34" s="213" t="s">
        <v>24</v>
      </c>
      <c r="W34" s="213" t="s">
        <v>24</v>
      </c>
      <c r="X34" s="213" t="s">
        <v>24</v>
      </c>
      <c r="Y34" s="213" t="s">
        <v>24</v>
      </c>
      <c r="Z34" s="213" t="s">
        <v>24</v>
      </c>
      <c r="AA34" s="210"/>
      <c r="AB34" s="270" t="s">
        <v>211</v>
      </c>
      <c r="AC34" s="270" t="s">
        <v>212</v>
      </c>
      <c r="AD34" s="270" t="s">
        <v>213</v>
      </c>
      <c r="AE34" s="220" t="s">
        <v>12</v>
      </c>
      <c r="AF34" s="210" t="s">
        <v>4</v>
      </c>
      <c r="AG34" s="291">
        <v>49800</v>
      </c>
      <c r="AH34" s="291">
        <v>60000</v>
      </c>
      <c r="AI34" s="214" t="s">
        <v>6</v>
      </c>
      <c r="AJ34" s="230" t="s">
        <v>104</v>
      </c>
      <c r="AK34" s="210" t="s">
        <v>105</v>
      </c>
      <c r="AL34" s="210" t="s">
        <v>105</v>
      </c>
      <c r="AM34" s="210" t="s">
        <v>105</v>
      </c>
      <c r="AN34" s="210" t="s">
        <v>106</v>
      </c>
      <c r="AO34" s="210"/>
      <c r="AP34" s="219" t="s">
        <v>214</v>
      </c>
      <c r="AQ34" s="210" t="s">
        <v>105</v>
      </c>
      <c r="AR34" s="210" t="s">
        <v>105</v>
      </c>
      <c r="AS34" s="210" t="s">
        <v>105</v>
      </c>
      <c r="AT34" s="210" t="s">
        <v>105</v>
      </c>
      <c r="AU34" s="213">
        <v>44966</v>
      </c>
      <c r="AV34" s="210" t="s">
        <v>105</v>
      </c>
      <c r="AW34" s="210" t="s">
        <v>105</v>
      </c>
      <c r="AX34" s="213">
        <v>45012</v>
      </c>
      <c r="AY34" s="213">
        <v>45012</v>
      </c>
      <c r="AZ34" s="213">
        <v>45040</v>
      </c>
      <c r="BA34" s="210" t="s">
        <v>30</v>
      </c>
      <c r="BB34" s="217" t="s">
        <v>105</v>
      </c>
      <c r="BC34" s="218">
        <f t="shared" si="3"/>
        <v>112</v>
      </c>
      <c r="BD34" s="210" t="str">
        <f t="shared" si="0"/>
        <v>INDENIZAÇÃO</v>
      </c>
      <c r="BE34" s="210" t="str">
        <f t="shared" si="1"/>
        <v>NÃO</v>
      </c>
      <c r="BF34" s="210" t="s">
        <v>24</v>
      </c>
      <c r="BG34" s="210" t="s">
        <v>24</v>
      </c>
      <c r="BH34" s="210" t="s">
        <v>24</v>
      </c>
      <c r="BI34" s="210" t="s">
        <v>105</v>
      </c>
      <c r="BJ34" s="210" t="s">
        <v>105</v>
      </c>
      <c r="BK34" s="253">
        <v>45190</v>
      </c>
      <c r="BL34" s="210" t="s">
        <v>105</v>
      </c>
      <c r="BM34" s="265" t="s">
        <v>105</v>
      </c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2"/>
      <c r="DP34" s="212"/>
    </row>
    <row r="35" spans="1:120" s="211" customFormat="1" ht="35.25" hidden="1" customHeight="1" x14ac:dyDescent="0.25">
      <c r="A35" s="210">
        <v>22</v>
      </c>
      <c r="B35" s="210" t="s">
        <v>99</v>
      </c>
      <c r="C35" s="220">
        <v>1</v>
      </c>
      <c r="D35" s="210">
        <v>0</v>
      </c>
      <c r="E35" s="210">
        <v>0</v>
      </c>
      <c r="F35" s="270" t="s">
        <v>215</v>
      </c>
      <c r="G35" s="220" t="s">
        <v>1</v>
      </c>
      <c r="H35" s="220" t="s">
        <v>2</v>
      </c>
      <c r="I35" s="210" t="s">
        <v>12</v>
      </c>
      <c r="J35" s="270" t="s">
        <v>216</v>
      </c>
      <c r="K35" s="271" t="s">
        <v>217</v>
      </c>
      <c r="L35" s="271" t="s">
        <v>218</v>
      </c>
      <c r="M35" s="220" t="s">
        <v>4</v>
      </c>
      <c r="N35" s="220" t="s">
        <v>5</v>
      </c>
      <c r="O35" s="213">
        <v>45065</v>
      </c>
      <c r="P35" s="213" t="s">
        <v>24</v>
      </c>
      <c r="Q35" s="213" t="s">
        <v>24</v>
      </c>
      <c r="R35" s="213" t="s">
        <v>24</v>
      </c>
      <c r="S35" s="213" t="s">
        <v>24</v>
      </c>
      <c r="T35" s="213" t="s">
        <v>24</v>
      </c>
      <c r="U35" s="213" t="s">
        <v>24</v>
      </c>
      <c r="V35" s="213" t="s">
        <v>24</v>
      </c>
      <c r="W35" s="213" t="s">
        <v>24</v>
      </c>
      <c r="X35" s="213" t="s">
        <v>24</v>
      </c>
      <c r="Y35" s="213" t="s">
        <v>24</v>
      </c>
      <c r="Z35" s="213" t="s">
        <v>24</v>
      </c>
      <c r="AA35" s="210"/>
      <c r="AB35" s="271" t="s">
        <v>216</v>
      </c>
      <c r="AC35" s="271" t="s">
        <v>217</v>
      </c>
      <c r="AD35" s="271" t="s">
        <v>218</v>
      </c>
      <c r="AE35" s="220" t="s">
        <v>12</v>
      </c>
      <c r="AF35" s="210" t="s">
        <v>24</v>
      </c>
      <c r="AG35" s="291">
        <v>0</v>
      </c>
      <c r="AH35" s="291">
        <v>60000</v>
      </c>
      <c r="AI35" s="214" t="s">
        <v>219</v>
      </c>
      <c r="AJ35" s="230" t="s">
        <v>104</v>
      </c>
      <c r="AK35" s="210" t="s">
        <v>24</v>
      </c>
      <c r="AL35" s="210" t="s">
        <v>24</v>
      </c>
      <c r="AM35" s="210" t="s">
        <v>24</v>
      </c>
      <c r="AN35" s="210" t="s">
        <v>24</v>
      </c>
      <c r="AO35" s="210"/>
      <c r="AP35" s="219" t="s">
        <v>24</v>
      </c>
      <c r="AQ35" s="210" t="s">
        <v>24</v>
      </c>
      <c r="AR35" s="210" t="s">
        <v>24</v>
      </c>
      <c r="AS35" s="210" t="s">
        <v>24</v>
      </c>
      <c r="AT35" s="210" t="s">
        <v>24</v>
      </c>
      <c r="AU35" s="210" t="s">
        <v>24</v>
      </c>
      <c r="AV35" s="210" t="s">
        <v>24</v>
      </c>
      <c r="AW35" s="210" t="s">
        <v>24</v>
      </c>
      <c r="AX35" s="210" t="s">
        <v>24</v>
      </c>
      <c r="AY35" s="210" t="s">
        <v>24</v>
      </c>
      <c r="AZ35" s="221" t="s">
        <v>220</v>
      </c>
      <c r="BA35" s="210" t="s">
        <v>30</v>
      </c>
      <c r="BB35" s="217" t="s">
        <v>105</v>
      </c>
      <c r="BC35" s="218" t="s">
        <v>24</v>
      </c>
      <c r="BD35" s="210" t="str">
        <f t="shared" si="0"/>
        <v>INDENIZAÇÃO</v>
      </c>
      <c r="BE35" s="210" t="str">
        <f t="shared" si="1"/>
        <v>NÃO</v>
      </c>
      <c r="BF35" s="210" t="s">
        <v>24</v>
      </c>
      <c r="BG35" s="210" t="s">
        <v>24</v>
      </c>
      <c r="BH35" s="210" t="s">
        <v>24</v>
      </c>
      <c r="BI35" s="210" t="s">
        <v>24</v>
      </c>
      <c r="BJ35" s="210" t="s">
        <v>24</v>
      </c>
      <c r="BK35" s="210" t="s">
        <v>24</v>
      </c>
      <c r="BL35" s="210" t="s">
        <v>24</v>
      </c>
      <c r="BM35" s="251" t="s">
        <v>105</v>
      </c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0"/>
      <c r="BZ35" s="212"/>
      <c r="DP35" s="212"/>
    </row>
    <row r="36" spans="1:120" s="211" customFormat="1" ht="35.25" customHeight="1" x14ac:dyDescent="0.25">
      <c r="A36" s="210">
        <v>23</v>
      </c>
      <c r="B36" s="210" t="s">
        <v>99</v>
      </c>
      <c r="C36" s="220">
        <v>1</v>
      </c>
      <c r="D36" s="210">
        <v>0</v>
      </c>
      <c r="E36" s="210">
        <v>0</v>
      </c>
      <c r="F36" s="270" t="s">
        <v>221</v>
      </c>
      <c r="G36" s="220" t="s">
        <v>1</v>
      </c>
      <c r="H36" s="220" t="s">
        <v>2</v>
      </c>
      <c r="I36" s="220" t="s">
        <v>121</v>
      </c>
      <c r="J36" s="270" t="s">
        <v>222</v>
      </c>
      <c r="K36" s="270" t="s">
        <v>223</v>
      </c>
      <c r="L36" s="270" t="s">
        <v>224</v>
      </c>
      <c r="M36" s="220" t="s">
        <v>4</v>
      </c>
      <c r="N36" s="220" t="s">
        <v>14</v>
      </c>
      <c r="O36" s="213">
        <v>44900</v>
      </c>
      <c r="P36" s="213">
        <v>44921</v>
      </c>
      <c r="Q36" s="213" t="s">
        <v>114</v>
      </c>
      <c r="R36" s="213" t="s">
        <v>105</v>
      </c>
      <c r="S36" s="213" t="s">
        <v>105</v>
      </c>
      <c r="T36" s="213" t="s">
        <v>105</v>
      </c>
      <c r="U36" s="213">
        <v>45128</v>
      </c>
      <c r="V36" s="213">
        <v>45135</v>
      </c>
      <c r="W36" s="213">
        <v>45135</v>
      </c>
      <c r="X36" s="213">
        <v>45160</v>
      </c>
      <c r="Y36" s="229">
        <v>45160</v>
      </c>
      <c r="Z36" s="229">
        <v>45180</v>
      </c>
      <c r="AA36" s="210"/>
      <c r="AB36" s="271" t="s">
        <v>216</v>
      </c>
      <c r="AC36" s="271" t="s">
        <v>217</v>
      </c>
      <c r="AD36" s="271" t="s">
        <v>218</v>
      </c>
      <c r="AE36" s="220" t="s">
        <v>3</v>
      </c>
      <c r="AF36" s="210" t="s">
        <v>4</v>
      </c>
      <c r="AG36" s="291">
        <v>110600</v>
      </c>
      <c r="AH36" s="291">
        <v>110600</v>
      </c>
      <c r="AI36" s="214" t="s">
        <v>6</v>
      </c>
      <c r="AJ36" s="230" t="s">
        <v>104</v>
      </c>
      <c r="AK36" s="210" t="s">
        <v>105</v>
      </c>
      <c r="AL36" s="210" t="s">
        <v>105</v>
      </c>
      <c r="AM36" s="210" t="s">
        <v>105</v>
      </c>
      <c r="AN36" s="210" t="s">
        <v>106</v>
      </c>
      <c r="AO36" s="210"/>
      <c r="AP36" s="219" t="s">
        <v>225</v>
      </c>
      <c r="AQ36" s="210" t="s">
        <v>105</v>
      </c>
      <c r="AR36" s="210" t="s">
        <v>105</v>
      </c>
      <c r="AS36" s="210" t="s">
        <v>105</v>
      </c>
      <c r="AT36" s="210" t="s">
        <v>105</v>
      </c>
      <c r="AU36" s="213">
        <v>45146</v>
      </c>
      <c r="AV36" s="210" t="s">
        <v>105</v>
      </c>
      <c r="AW36" s="210" t="s">
        <v>105</v>
      </c>
      <c r="AX36" s="213">
        <v>45153</v>
      </c>
      <c r="AY36" s="213">
        <v>45153</v>
      </c>
      <c r="AZ36" s="229">
        <v>45179</v>
      </c>
      <c r="BA36" s="228" t="s">
        <v>30</v>
      </c>
      <c r="BB36" s="217" t="s">
        <v>105</v>
      </c>
      <c r="BC36" s="218">
        <f t="shared" ref="BC36:BC45" si="4">IF(AY36-ON36=0,"",AY36-O36)</f>
        <v>253</v>
      </c>
      <c r="BD36" s="210" t="str">
        <f t="shared" si="0"/>
        <v>INDENIZAÇÃO</v>
      </c>
      <c r="BE36" s="210" t="str">
        <f t="shared" si="1"/>
        <v>NÃO</v>
      </c>
      <c r="BF36" s="210" t="s">
        <v>24</v>
      </c>
      <c r="BG36" s="210" t="s">
        <v>24</v>
      </c>
      <c r="BH36" s="210" t="s">
        <v>24</v>
      </c>
      <c r="BI36" s="254" t="s">
        <v>105</v>
      </c>
      <c r="BJ36" s="254" t="s">
        <v>105</v>
      </c>
      <c r="BK36" s="253">
        <v>45310</v>
      </c>
      <c r="BL36" s="254" t="s">
        <v>105</v>
      </c>
      <c r="BM36" s="266" t="s">
        <v>105</v>
      </c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2"/>
      <c r="DP36" s="212"/>
    </row>
    <row r="37" spans="1:120" s="211" customFormat="1" ht="35.25" customHeight="1" x14ac:dyDescent="0.25">
      <c r="A37" s="210">
        <v>24</v>
      </c>
      <c r="B37" s="210" t="s">
        <v>99</v>
      </c>
      <c r="C37" s="220">
        <v>1</v>
      </c>
      <c r="D37" s="210">
        <v>0</v>
      </c>
      <c r="E37" s="210">
        <v>0</v>
      </c>
      <c r="F37" s="270" t="s">
        <v>226</v>
      </c>
      <c r="G37" s="220" t="s">
        <v>1</v>
      </c>
      <c r="H37" s="220" t="s">
        <v>2</v>
      </c>
      <c r="I37" s="220" t="s">
        <v>121</v>
      </c>
      <c r="J37" s="270" t="s">
        <v>227</v>
      </c>
      <c r="K37" s="270" t="s">
        <v>228</v>
      </c>
      <c r="L37" s="270" t="s">
        <v>229</v>
      </c>
      <c r="M37" s="220" t="s">
        <v>4</v>
      </c>
      <c r="N37" s="220" t="s">
        <v>14</v>
      </c>
      <c r="O37" s="213">
        <v>44900</v>
      </c>
      <c r="P37" s="213">
        <v>44921</v>
      </c>
      <c r="Q37" s="213" t="s">
        <v>114</v>
      </c>
      <c r="R37" s="213" t="s">
        <v>105</v>
      </c>
      <c r="S37" s="213" t="s">
        <v>105</v>
      </c>
      <c r="T37" s="213" t="s">
        <v>105</v>
      </c>
      <c r="U37" s="213">
        <v>45128</v>
      </c>
      <c r="V37" s="213">
        <v>45135</v>
      </c>
      <c r="W37" s="213">
        <v>45135</v>
      </c>
      <c r="X37" s="213">
        <v>45191</v>
      </c>
      <c r="Y37" s="213">
        <v>45194</v>
      </c>
      <c r="Z37" s="229">
        <v>45209</v>
      </c>
      <c r="AA37" s="210"/>
      <c r="AB37" s="271" t="s">
        <v>230</v>
      </c>
      <c r="AC37" s="270" t="s">
        <v>231</v>
      </c>
      <c r="AD37" s="270" t="s">
        <v>232</v>
      </c>
      <c r="AE37" s="220" t="s">
        <v>3</v>
      </c>
      <c r="AF37" s="210" t="s">
        <v>4</v>
      </c>
      <c r="AG37" s="291">
        <v>49000</v>
      </c>
      <c r="AH37" s="291">
        <v>60000</v>
      </c>
      <c r="AI37" s="214" t="s">
        <v>6</v>
      </c>
      <c r="AJ37" s="230" t="s">
        <v>104</v>
      </c>
      <c r="AK37" s="210" t="s">
        <v>105</v>
      </c>
      <c r="AL37" s="210" t="s">
        <v>105</v>
      </c>
      <c r="AM37" s="210" t="s">
        <v>105</v>
      </c>
      <c r="AN37" s="210" t="s">
        <v>106</v>
      </c>
      <c r="AO37" s="210"/>
      <c r="AP37" s="219" t="s">
        <v>233</v>
      </c>
      <c r="AQ37" s="210" t="s">
        <v>105</v>
      </c>
      <c r="AR37" s="210" t="s">
        <v>105</v>
      </c>
      <c r="AS37" s="210" t="s">
        <v>105</v>
      </c>
      <c r="AT37" s="210" t="s">
        <v>105</v>
      </c>
      <c r="AU37" s="213">
        <v>45114</v>
      </c>
      <c r="AV37" s="210" t="s">
        <v>105</v>
      </c>
      <c r="AW37" s="210" t="s">
        <v>105</v>
      </c>
      <c r="AX37" s="213">
        <v>45152</v>
      </c>
      <c r="AY37" s="213">
        <v>45152</v>
      </c>
      <c r="AZ37" s="229">
        <v>45209</v>
      </c>
      <c r="BA37" s="228" t="s">
        <v>30</v>
      </c>
      <c r="BB37" s="217" t="s">
        <v>105</v>
      </c>
      <c r="BC37" s="218">
        <f t="shared" si="4"/>
        <v>252</v>
      </c>
      <c r="BD37" s="210" t="str">
        <f t="shared" si="0"/>
        <v>INDENIZAÇÃO</v>
      </c>
      <c r="BE37" s="210" t="str">
        <f t="shared" si="1"/>
        <v>NÃO</v>
      </c>
      <c r="BF37" s="210" t="s">
        <v>24</v>
      </c>
      <c r="BG37" s="210" t="s">
        <v>24</v>
      </c>
      <c r="BH37" s="210" t="s">
        <v>24</v>
      </c>
      <c r="BI37" s="210" t="s">
        <v>105</v>
      </c>
      <c r="BJ37" s="210" t="s">
        <v>105</v>
      </c>
      <c r="BK37" s="253">
        <v>45246</v>
      </c>
      <c r="BL37" s="254" t="s">
        <v>105</v>
      </c>
      <c r="BM37" s="266" t="s">
        <v>105</v>
      </c>
      <c r="BN37" s="210"/>
      <c r="BO37" s="210"/>
      <c r="BP37" s="210"/>
      <c r="BQ37" s="210"/>
      <c r="BR37" s="210"/>
      <c r="BS37" s="210"/>
      <c r="BT37" s="210"/>
      <c r="BU37" s="210"/>
      <c r="BV37" s="210"/>
      <c r="BW37" s="210"/>
      <c r="BX37" s="210"/>
      <c r="BY37" s="210"/>
      <c r="BZ37" s="212"/>
      <c r="DP37" s="212"/>
    </row>
    <row r="38" spans="1:120" s="226" customFormat="1" ht="35.25" customHeight="1" x14ac:dyDescent="0.25">
      <c r="A38" s="210">
        <v>25</v>
      </c>
      <c r="B38" s="210" t="s">
        <v>99</v>
      </c>
      <c r="C38" s="210">
        <v>1</v>
      </c>
      <c r="D38" s="210">
        <v>0</v>
      </c>
      <c r="E38" s="210">
        <v>0</v>
      </c>
      <c r="F38" s="219" t="s">
        <v>234</v>
      </c>
      <c r="G38" s="210" t="s">
        <v>1</v>
      </c>
      <c r="H38" s="210" t="s">
        <v>2</v>
      </c>
      <c r="I38" s="210" t="s">
        <v>121</v>
      </c>
      <c r="J38" s="219" t="s">
        <v>235</v>
      </c>
      <c r="K38" s="219" t="s">
        <v>236</v>
      </c>
      <c r="L38" s="219" t="s">
        <v>237</v>
      </c>
      <c r="M38" s="220" t="s">
        <v>4</v>
      </c>
      <c r="N38" s="220" t="s">
        <v>14</v>
      </c>
      <c r="O38" s="213">
        <v>44900</v>
      </c>
      <c r="P38" s="213">
        <v>44921</v>
      </c>
      <c r="Q38" s="213" t="s">
        <v>114</v>
      </c>
      <c r="R38" s="213" t="s">
        <v>105</v>
      </c>
      <c r="S38" s="213" t="s">
        <v>105</v>
      </c>
      <c r="T38" s="213" t="s">
        <v>105</v>
      </c>
      <c r="U38" s="213">
        <v>44992</v>
      </c>
      <c r="V38" s="213" t="s">
        <v>105</v>
      </c>
      <c r="W38" s="213">
        <v>44992</v>
      </c>
      <c r="X38" s="213">
        <v>45019</v>
      </c>
      <c r="Y38" s="221" t="s">
        <v>238</v>
      </c>
      <c r="Z38" s="213">
        <v>45127</v>
      </c>
      <c r="AA38" s="167" t="s">
        <v>239</v>
      </c>
      <c r="AB38" s="231" t="s">
        <v>240</v>
      </c>
      <c r="AC38" s="219" t="s">
        <v>241</v>
      </c>
      <c r="AD38" s="219" t="s">
        <v>242</v>
      </c>
      <c r="AE38" s="220" t="s">
        <v>3</v>
      </c>
      <c r="AF38" s="210" t="s">
        <v>4</v>
      </c>
      <c r="AG38" s="230">
        <v>46500</v>
      </c>
      <c r="AH38" s="230">
        <v>60000</v>
      </c>
      <c r="AI38" s="214" t="s">
        <v>6</v>
      </c>
      <c r="AJ38" s="230" t="s">
        <v>104</v>
      </c>
      <c r="AK38" s="210" t="s">
        <v>105</v>
      </c>
      <c r="AL38" s="210" t="s">
        <v>105</v>
      </c>
      <c r="AM38" s="210" t="s">
        <v>105</v>
      </c>
      <c r="AN38" s="210" t="s">
        <v>106</v>
      </c>
      <c r="AO38" s="285"/>
      <c r="AP38" s="219" t="s">
        <v>243</v>
      </c>
      <c r="AQ38" s="210" t="s">
        <v>105</v>
      </c>
      <c r="AR38" s="210" t="s">
        <v>105</v>
      </c>
      <c r="AS38" s="210" t="s">
        <v>105</v>
      </c>
      <c r="AT38" s="210" t="s">
        <v>105</v>
      </c>
      <c r="AU38" s="213">
        <v>45014</v>
      </c>
      <c r="AV38" s="210" t="s">
        <v>105</v>
      </c>
      <c r="AW38" s="210" t="s">
        <v>105</v>
      </c>
      <c r="AX38" s="213">
        <v>45022</v>
      </c>
      <c r="AY38" s="213">
        <v>45022</v>
      </c>
      <c r="AZ38" s="213">
        <v>45134</v>
      </c>
      <c r="BA38" s="210" t="s">
        <v>30</v>
      </c>
      <c r="BB38" s="217" t="s">
        <v>105</v>
      </c>
      <c r="BC38" s="218">
        <f t="shared" si="4"/>
        <v>122</v>
      </c>
      <c r="BD38" s="210" t="str">
        <f t="shared" si="0"/>
        <v>INDENIZAÇÃO</v>
      </c>
      <c r="BE38" s="210" t="str">
        <f t="shared" si="1"/>
        <v>NÃO</v>
      </c>
      <c r="BF38" s="210" t="s">
        <v>24</v>
      </c>
      <c r="BG38" s="210" t="s">
        <v>24</v>
      </c>
      <c r="BH38" s="210" t="s">
        <v>24</v>
      </c>
      <c r="BI38" s="210" t="s">
        <v>105</v>
      </c>
      <c r="BJ38" s="210" t="s">
        <v>105</v>
      </c>
      <c r="BK38" s="253">
        <v>45190</v>
      </c>
      <c r="BL38" s="254" t="s">
        <v>105</v>
      </c>
      <c r="BM38" s="266" t="s">
        <v>105</v>
      </c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27"/>
      <c r="DP38" s="227"/>
    </row>
    <row r="39" spans="1:120" s="211" customFormat="1" ht="35.25" customHeight="1" x14ac:dyDescent="0.25">
      <c r="A39" s="210">
        <v>26</v>
      </c>
      <c r="B39" s="210" t="s">
        <v>99</v>
      </c>
      <c r="C39" s="220">
        <v>1</v>
      </c>
      <c r="D39" s="210">
        <v>0</v>
      </c>
      <c r="E39" s="210">
        <v>0</v>
      </c>
      <c r="F39" s="270" t="s">
        <v>244</v>
      </c>
      <c r="G39" s="220" t="s">
        <v>1</v>
      </c>
      <c r="H39" s="220" t="s">
        <v>2</v>
      </c>
      <c r="I39" s="210" t="s">
        <v>12</v>
      </c>
      <c r="J39" s="270" t="s">
        <v>245</v>
      </c>
      <c r="K39" s="270" t="s">
        <v>246</v>
      </c>
      <c r="L39" s="270" t="s">
        <v>247</v>
      </c>
      <c r="M39" s="220" t="s">
        <v>4</v>
      </c>
      <c r="N39" s="220" t="s">
        <v>5</v>
      </c>
      <c r="O39" s="213">
        <v>44900</v>
      </c>
      <c r="P39" s="213" t="s">
        <v>24</v>
      </c>
      <c r="Q39" s="213" t="s">
        <v>24</v>
      </c>
      <c r="R39" s="213" t="s">
        <v>24</v>
      </c>
      <c r="S39" s="213" t="s">
        <v>24</v>
      </c>
      <c r="T39" s="213" t="s">
        <v>24</v>
      </c>
      <c r="U39" s="213" t="s">
        <v>24</v>
      </c>
      <c r="V39" s="213" t="s">
        <v>24</v>
      </c>
      <c r="W39" s="213" t="s">
        <v>24</v>
      </c>
      <c r="X39" s="213" t="s">
        <v>24</v>
      </c>
      <c r="Y39" s="213" t="s">
        <v>24</v>
      </c>
      <c r="Z39" s="213" t="s">
        <v>24</v>
      </c>
      <c r="AA39" s="210"/>
      <c r="AB39" s="271" t="s">
        <v>245</v>
      </c>
      <c r="AC39" s="270" t="s">
        <v>246</v>
      </c>
      <c r="AD39" s="270" t="s">
        <v>247</v>
      </c>
      <c r="AE39" s="220" t="s">
        <v>12</v>
      </c>
      <c r="AF39" s="210" t="s">
        <v>4</v>
      </c>
      <c r="AG39" s="291">
        <v>48100</v>
      </c>
      <c r="AH39" s="291">
        <v>60000</v>
      </c>
      <c r="AI39" s="214" t="s">
        <v>6</v>
      </c>
      <c r="AJ39" s="230" t="s">
        <v>104</v>
      </c>
      <c r="AK39" s="210" t="s">
        <v>105</v>
      </c>
      <c r="AL39" s="210" t="s">
        <v>105</v>
      </c>
      <c r="AM39" s="210" t="s">
        <v>105</v>
      </c>
      <c r="AN39" s="210" t="s">
        <v>106</v>
      </c>
      <c r="AO39" s="225"/>
      <c r="AP39" s="219" t="s">
        <v>248</v>
      </c>
      <c r="AQ39" s="210" t="s">
        <v>105</v>
      </c>
      <c r="AR39" s="210" t="s">
        <v>105</v>
      </c>
      <c r="AS39" s="210" t="s">
        <v>105</v>
      </c>
      <c r="AT39" s="210" t="s">
        <v>105</v>
      </c>
      <c r="AU39" s="213">
        <v>44966</v>
      </c>
      <c r="AV39" s="210" t="s">
        <v>105</v>
      </c>
      <c r="AW39" s="210" t="s">
        <v>105</v>
      </c>
      <c r="AX39" s="213">
        <v>45012</v>
      </c>
      <c r="AY39" s="213">
        <v>45012</v>
      </c>
      <c r="AZ39" s="213">
        <v>45127</v>
      </c>
      <c r="BA39" s="210" t="s">
        <v>30</v>
      </c>
      <c r="BB39" s="217" t="s">
        <v>105</v>
      </c>
      <c r="BC39" s="218">
        <f t="shared" si="4"/>
        <v>112</v>
      </c>
      <c r="BD39" s="210" t="str">
        <f t="shared" si="0"/>
        <v>INDENIZAÇÃO</v>
      </c>
      <c r="BE39" s="210" t="str">
        <f t="shared" si="1"/>
        <v>NÃO</v>
      </c>
      <c r="BF39" s="210" t="s">
        <v>24</v>
      </c>
      <c r="BG39" s="210" t="s">
        <v>24</v>
      </c>
      <c r="BH39" s="210" t="s">
        <v>24</v>
      </c>
      <c r="BI39" s="210" t="s">
        <v>105</v>
      </c>
      <c r="BJ39" s="210" t="s">
        <v>105</v>
      </c>
      <c r="BK39" s="253">
        <v>45190</v>
      </c>
      <c r="BL39" s="210" t="s">
        <v>105</v>
      </c>
      <c r="BM39" s="266" t="s">
        <v>105</v>
      </c>
      <c r="BN39" s="210"/>
      <c r="BO39" s="210"/>
      <c r="BP39" s="210"/>
      <c r="BQ39" s="210"/>
      <c r="BR39" s="210"/>
      <c r="BS39" s="210"/>
      <c r="BT39" s="210"/>
      <c r="BU39" s="210"/>
      <c r="BV39" s="210"/>
      <c r="BW39" s="210"/>
      <c r="BX39" s="210"/>
      <c r="BY39" s="210"/>
      <c r="BZ39" s="212"/>
      <c r="DP39" s="212"/>
    </row>
    <row r="40" spans="1:120" s="211" customFormat="1" ht="35.25" customHeight="1" x14ac:dyDescent="0.25">
      <c r="A40" s="210">
        <v>27</v>
      </c>
      <c r="B40" s="210" t="s">
        <v>99</v>
      </c>
      <c r="C40" s="210">
        <v>1</v>
      </c>
      <c r="D40" s="210">
        <v>0</v>
      </c>
      <c r="E40" s="210">
        <v>0</v>
      </c>
      <c r="F40" s="219" t="s">
        <v>249</v>
      </c>
      <c r="G40" s="210" t="s">
        <v>1</v>
      </c>
      <c r="H40" s="210" t="s">
        <v>2</v>
      </c>
      <c r="I40" s="210" t="s">
        <v>12</v>
      </c>
      <c r="J40" s="219" t="s">
        <v>250</v>
      </c>
      <c r="K40" s="219" t="s">
        <v>251</v>
      </c>
      <c r="L40" s="219" t="s">
        <v>252</v>
      </c>
      <c r="M40" s="220" t="s">
        <v>4</v>
      </c>
      <c r="N40" s="220" t="s">
        <v>5</v>
      </c>
      <c r="O40" s="213">
        <v>44900</v>
      </c>
      <c r="P40" s="213" t="s">
        <v>24</v>
      </c>
      <c r="Q40" s="213" t="s">
        <v>24</v>
      </c>
      <c r="R40" s="213" t="s">
        <v>24</v>
      </c>
      <c r="S40" s="213" t="s">
        <v>24</v>
      </c>
      <c r="T40" s="213" t="s">
        <v>24</v>
      </c>
      <c r="U40" s="213" t="s">
        <v>24</v>
      </c>
      <c r="V40" s="213" t="s">
        <v>24</v>
      </c>
      <c r="W40" s="213" t="s">
        <v>24</v>
      </c>
      <c r="X40" s="213" t="s">
        <v>24</v>
      </c>
      <c r="Y40" s="213" t="s">
        <v>24</v>
      </c>
      <c r="Z40" s="213" t="s">
        <v>24</v>
      </c>
      <c r="AA40" s="210"/>
      <c r="AB40" s="219" t="s">
        <v>250</v>
      </c>
      <c r="AC40" s="219" t="s">
        <v>251</v>
      </c>
      <c r="AD40" s="219" t="s">
        <v>252</v>
      </c>
      <c r="AE40" s="220" t="s">
        <v>12</v>
      </c>
      <c r="AF40" s="210" t="s">
        <v>4</v>
      </c>
      <c r="AG40" s="230">
        <v>27500</v>
      </c>
      <c r="AH40" s="230">
        <v>57500</v>
      </c>
      <c r="AI40" s="214" t="s">
        <v>6</v>
      </c>
      <c r="AJ40" s="230" t="s">
        <v>104</v>
      </c>
      <c r="AK40" s="210" t="s">
        <v>105</v>
      </c>
      <c r="AL40" s="210" t="s">
        <v>105</v>
      </c>
      <c r="AM40" s="210" t="s">
        <v>105</v>
      </c>
      <c r="AN40" s="210" t="s">
        <v>106</v>
      </c>
      <c r="AO40" s="284"/>
      <c r="AP40" s="219" t="s">
        <v>253</v>
      </c>
      <c r="AQ40" s="210" t="s">
        <v>105</v>
      </c>
      <c r="AR40" s="210" t="s">
        <v>105</v>
      </c>
      <c r="AS40" s="210" t="s">
        <v>105</v>
      </c>
      <c r="AT40" s="210" t="s">
        <v>105</v>
      </c>
      <c r="AU40" s="213">
        <v>44966</v>
      </c>
      <c r="AV40" s="210" t="s">
        <v>105</v>
      </c>
      <c r="AW40" s="210" t="s">
        <v>105</v>
      </c>
      <c r="AX40" s="213">
        <v>45012</v>
      </c>
      <c r="AY40" s="213">
        <v>45012</v>
      </c>
      <c r="AZ40" s="213">
        <v>45063</v>
      </c>
      <c r="BA40" s="210" t="s">
        <v>30</v>
      </c>
      <c r="BB40" s="217" t="s">
        <v>105</v>
      </c>
      <c r="BC40" s="218">
        <f t="shared" si="4"/>
        <v>112</v>
      </c>
      <c r="BD40" s="210" t="str">
        <f t="shared" si="0"/>
        <v>INDENIZAÇÃO</v>
      </c>
      <c r="BE40" s="210" t="str">
        <f t="shared" si="1"/>
        <v>NÃO</v>
      </c>
      <c r="BF40" s="210" t="s">
        <v>24</v>
      </c>
      <c r="BG40" s="210" t="s">
        <v>24</v>
      </c>
      <c r="BH40" s="210" t="s">
        <v>24</v>
      </c>
      <c r="BI40" s="210" t="s">
        <v>105</v>
      </c>
      <c r="BJ40" s="210" t="s">
        <v>105</v>
      </c>
      <c r="BK40" s="253">
        <v>45190</v>
      </c>
      <c r="BL40" s="210" t="s">
        <v>105</v>
      </c>
      <c r="BM40" s="266" t="s">
        <v>105</v>
      </c>
      <c r="BN40" s="210"/>
      <c r="BO40" s="210"/>
      <c r="BP40" s="210"/>
      <c r="BQ40" s="210"/>
      <c r="BR40" s="210"/>
      <c r="BS40" s="210"/>
      <c r="BT40" s="210"/>
      <c r="BU40" s="210"/>
      <c r="BV40" s="210"/>
      <c r="BW40" s="210"/>
      <c r="BX40" s="210"/>
      <c r="BY40" s="210"/>
      <c r="BZ40" s="212"/>
      <c r="DP40" s="212"/>
    </row>
    <row r="41" spans="1:120" s="211" customFormat="1" ht="35.25" hidden="1" customHeight="1" x14ac:dyDescent="0.25">
      <c r="A41" s="210">
        <v>28</v>
      </c>
      <c r="B41" s="210" t="s">
        <v>99</v>
      </c>
      <c r="C41" s="220">
        <v>1</v>
      </c>
      <c r="D41" s="210">
        <v>0</v>
      </c>
      <c r="E41" s="210">
        <v>0</v>
      </c>
      <c r="F41" s="270" t="s">
        <v>254</v>
      </c>
      <c r="G41" s="220" t="s">
        <v>1</v>
      </c>
      <c r="H41" s="220" t="s">
        <v>2</v>
      </c>
      <c r="I41" s="220" t="s">
        <v>121</v>
      </c>
      <c r="J41" s="270" t="s">
        <v>255</v>
      </c>
      <c r="K41" s="270" t="s">
        <v>256</v>
      </c>
      <c r="L41" s="270" t="s">
        <v>257</v>
      </c>
      <c r="M41" s="220" t="s">
        <v>4</v>
      </c>
      <c r="N41" s="220" t="s">
        <v>14</v>
      </c>
      <c r="O41" s="213">
        <v>44900</v>
      </c>
      <c r="P41" s="213">
        <v>44921</v>
      </c>
      <c r="Q41" s="213" t="s">
        <v>114</v>
      </c>
      <c r="R41" s="213" t="s">
        <v>105</v>
      </c>
      <c r="S41" s="213" t="s">
        <v>105</v>
      </c>
      <c r="T41" s="213" t="s">
        <v>105</v>
      </c>
      <c r="U41" s="213">
        <v>44992</v>
      </c>
      <c r="V41" s="213" t="s">
        <v>105</v>
      </c>
      <c r="W41" s="213">
        <v>44992</v>
      </c>
      <c r="X41" s="213">
        <v>45019</v>
      </c>
      <c r="Y41" s="213">
        <v>45020</v>
      </c>
      <c r="Z41" s="213">
        <v>45063</v>
      </c>
      <c r="AA41" s="210" t="s">
        <v>115</v>
      </c>
      <c r="AB41" s="271" t="s">
        <v>258</v>
      </c>
      <c r="AC41" s="270" t="s">
        <v>259</v>
      </c>
      <c r="AD41" s="270" t="s">
        <v>260</v>
      </c>
      <c r="AE41" s="220" t="s">
        <v>3</v>
      </c>
      <c r="AF41" s="210" t="s">
        <v>4</v>
      </c>
      <c r="AG41" s="291">
        <v>0</v>
      </c>
      <c r="AH41" s="291">
        <v>60000</v>
      </c>
      <c r="AI41" s="228" t="s">
        <v>261</v>
      </c>
      <c r="AJ41" s="230" t="s">
        <v>104</v>
      </c>
      <c r="AK41" s="210" t="s">
        <v>105</v>
      </c>
      <c r="AL41" s="210" t="s">
        <v>24</v>
      </c>
      <c r="AM41" s="210" t="s">
        <v>24</v>
      </c>
      <c r="AN41" s="210" t="s">
        <v>24</v>
      </c>
      <c r="AO41" s="228" t="s">
        <v>262</v>
      </c>
      <c r="AP41" s="219" t="s">
        <v>24</v>
      </c>
      <c r="AQ41" s="210" t="s">
        <v>24</v>
      </c>
      <c r="AR41" s="210" t="s">
        <v>24</v>
      </c>
      <c r="AS41" s="210" t="s">
        <v>24</v>
      </c>
      <c r="AT41" s="210" t="s">
        <v>24</v>
      </c>
      <c r="AU41" s="210" t="s">
        <v>24</v>
      </c>
      <c r="AV41" s="210" t="s">
        <v>24</v>
      </c>
      <c r="AW41" s="210" t="s">
        <v>24</v>
      </c>
      <c r="AX41" s="210" t="s">
        <v>24</v>
      </c>
      <c r="AY41" s="210" t="s">
        <v>24</v>
      </c>
      <c r="AZ41" s="213">
        <v>45063</v>
      </c>
      <c r="BA41" s="210" t="s">
        <v>30</v>
      </c>
      <c r="BB41" s="217" t="s">
        <v>105</v>
      </c>
      <c r="BC41" s="218" t="e">
        <f t="shared" si="4"/>
        <v>#VALUE!</v>
      </c>
      <c r="BD41" s="210" t="str">
        <f t="shared" si="0"/>
        <v>INDENIZAÇÃO</v>
      </c>
      <c r="BE41" s="210" t="str">
        <f t="shared" si="1"/>
        <v>NÃO</v>
      </c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2"/>
      <c r="DP41" s="212"/>
    </row>
    <row r="42" spans="1:120" s="211" customFormat="1" ht="35.25" customHeight="1" x14ac:dyDescent="0.25">
      <c r="A42" s="210">
        <v>29</v>
      </c>
      <c r="B42" s="210" t="s">
        <v>99</v>
      </c>
      <c r="C42" s="210">
        <v>1</v>
      </c>
      <c r="D42" s="210">
        <v>0</v>
      </c>
      <c r="E42" s="210">
        <v>0</v>
      </c>
      <c r="F42" s="219" t="s">
        <v>263</v>
      </c>
      <c r="G42" s="210" t="s">
        <v>1</v>
      </c>
      <c r="H42" s="210" t="s">
        <v>2</v>
      </c>
      <c r="I42" s="210" t="s">
        <v>121</v>
      </c>
      <c r="J42" s="219" t="s">
        <v>264</v>
      </c>
      <c r="K42" s="219" t="s">
        <v>265</v>
      </c>
      <c r="L42" s="219" t="s">
        <v>266</v>
      </c>
      <c r="M42" s="220" t="s">
        <v>4</v>
      </c>
      <c r="N42" s="220" t="s">
        <v>14</v>
      </c>
      <c r="O42" s="213">
        <v>44900</v>
      </c>
      <c r="P42" s="213">
        <v>45081</v>
      </c>
      <c r="Q42" s="213" t="s">
        <v>114</v>
      </c>
      <c r="R42" s="213" t="s">
        <v>105</v>
      </c>
      <c r="S42" s="213" t="s">
        <v>105</v>
      </c>
      <c r="T42" s="213" t="s">
        <v>105</v>
      </c>
      <c r="U42" s="213" t="s">
        <v>267</v>
      </c>
      <c r="V42" s="213" t="s">
        <v>105</v>
      </c>
      <c r="W42" s="229" t="s">
        <v>268</v>
      </c>
      <c r="X42" s="229" t="s">
        <v>269</v>
      </c>
      <c r="Y42" s="229" t="s">
        <v>270</v>
      </c>
      <c r="Z42" s="213">
        <v>45063</v>
      </c>
      <c r="AA42" s="210"/>
      <c r="AB42" s="231" t="s">
        <v>258</v>
      </c>
      <c r="AC42" s="219" t="s">
        <v>259</v>
      </c>
      <c r="AD42" s="219" t="s">
        <v>260</v>
      </c>
      <c r="AE42" s="220" t="s">
        <v>3</v>
      </c>
      <c r="AF42" s="210" t="s">
        <v>4</v>
      </c>
      <c r="AG42" s="230">
        <v>38000</v>
      </c>
      <c r="AH42" s="230">
        <v>60000</v>
      </c>
      <c r="AI42" s="214" t="s">
        <v>6</v>
      </c>
      <c r="AJ42" s="230" t="s">
        <v>104</v>
      </c>
      <c r="AK42" s="210" t="s">
        <v>105</v>
      </c>
      <c r="AL42" s="210" t="s">
        <v>105</v>
      </c>
      <c r="AM42" s="210" t="s">
        <v>105</v>
      </c>
      <c r="AN42" s="210" t="s">
        <v>106</v>
      </c>
      <c r="AO42" s="210"/>
      <c r="AP42" s="219" t="s">
        <v>271</v>
      </c>
      <c r="AQ42" s="210" t="s">
        <v>105</v>
      </c>
      <c r="AR42" s="210" t="s">
        <v>105</v>
      </c>
      <c r="AS42" s="210" t="s">
        <v>105</v>
      </c>
      <c r="AT42" s="210" t="s">
        <v>105</v>
      </c>
      <c r="AU42" s="213">
        <v>45016</v>
      </c>
      <c r="AV42" s="210" t="s">
        <v>105</v>
      </c>
      <c r="AW42" s="210" t="s">
        <v>105</v>
      </c>
      <c r="AX42" s="213">
        <v>45022</v>
      </c>
      <c r="AY42" s="213">
        <v>45022</v>
      </c>
      <c r="AZ42" s="213">
        <v>45063</v>
      </c>
      <c r="BA42" s="210" t="s">
        <v>30</v>
      </c>
      <c r="BB42" s="217" t="s">
        <v>105</v>
      </c>
      <c r="BC42" s="218">
        <f t="shared" si="4"/>
        <v>122</v>
      </c>
      <c r="BD42" s="210" t="str">
        <f t="shared" si="0"/>
        <v>INDENIZAÇÃO</v>
      </c>
      <c r="BE42" s="210" t="str">
        <f t="shared" si="1"/>
        <v>NÃO</v>
      </c>
      <c r="BF42" s="210" t="s">
        <v>24</v>
      </c>
      <c r="BG42" s="210" t="s">
        <v>24</v>
      </c>
      <c r="BH42" s="210" t="s">
        <v>24</v>
      </c>
      <c r="BI42" s="210" t="s">
        <v>105</v>
      </c>
      <c r="BJ42" s="210" t="s">
        <v>105</v>
      </c>
      <c r="BK42" s="253">
        <v>45190</v>
      </c>
      <c r="BL42" s="210" t="s">
        <v>105</v>
      </c>
      <c r="BM42" s="266" t="s">
        <v>105</v>
      </c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0"/>
      <c r="BZ42" s="212"/>
      <c r="DP42" s="212"/>
    </row>
    <row r="43" spans="1:120" s="211" customFormat="1" ht="35.25" customHeight="1" x14ac:dyDescent="0.25">
      <c r="A43" s="210">
        <v>30</v>
      </c>
      <c r="B43" s="210" t="s">
        <v>99</v>
      </c>
      <c r="C43" s="220">
        <v>1</v>
      </c>
      <c r="D43" s="210">
        <v>0</v>
      </c>
      <c r="E43" s="210">
        <v>0</v>
      </c>
      <c r="F43" s="270" t="s">
        <v>272</v>
      </c>
      <c r="G43" s="220" t="s">
        <v>1</v>
      </c>
      <c r="H43" s="220" t="s">
        <v>2</v>
      </c>
      <c r="I43" s="210" t="s">
        <v>12</v>
      </c>
      <c r="J43" s="270" t="s">
        <v>273</v>
      </c>
      <c r="K43" s="270" t="s">
        <v>274</v>
      </c>
      <c r="L43" s="270" t="s">
        <v>275</v>
      </c>
      <c r="M43" s="220" t="s">
        <v>4</v>
      </c>
      <c r="N43" s="220" t="s">
        <v>5</v>
      </c>
      <c r="O43" s="213">
        <v>44900</v>
      </c>
      <c r="P43" s="213" t="s">
        <v>24</v>
      </c>
      <c r="Q43" s="213" t="s">
        <v>24</v>
      </c>
      <c r="R43" s="213" t="s">
        <v>24</v>
      </c>
      <c r="S43" s="213" t="s">
        <v>24</v>
      </c>
      <c r="T43" s="213" t="s">
        <v>24</v>
      </c>
      <c r="U43" s="213" t="s">
        <v>24</v>
      </c>
      <c r="V43" s="213" t="s">
        <v>24</v>
      </c>
      <c r="W43" s="213" t="s">
        <v>24</v>
      </c>
      <c r="X43" s="213" t="s">
        <v>24</v>
      </c>
      <c r="Y43" s="213" t="s">
        <v>24</v>
      </c>
      <c r="Z43" s="213" t="s">
        <v>24</v>
      </c>
      <c r="AA43" s="210"/>
      <c r="AB43" s="270" t="s">
        <v>273</v>
      </c>
      <c r="AC43" s="270" t="s">
        <v>274</v>
      </c>
      <c r="AD43" s="270" t="s">
        <v>275</v>
      </c>
      <c r="AE43" s="220" t="s">
        <v>12</v>
      </c>
      <c r="AF43" s="210" t="s">
        <v>4</v>
      </c>
      <c r="AG43" s="291">
        <v>37500</v>
      </c>
      <c r="AH43" s="291">
        <v>60000</v>
      </c>
      <c r="AI43" s="214" t="s">
        <v>6</v>
      </c>
      <c r="AJ43" s="230" t="s">
        <v>104</v>
      </c>
      <c r="AK43" s="210" t="s">
        <v>105</v>
      </c>
      <c r="AL43" s="210" t="s">
        <v>105</v>
      </c>
      <c r="AM43" s="210" t="s">
        <v>105</v>
      </c>
      <c r="AN43" s="210" t="s">
        <v>106</v>
      </c>
      <c r="AO43" s="225"/>
      <c r="AP43" s="219" t="s">
        <v>276</v>
      </c>
      <c r="AQ43" s="210" t="s">
        <v>105</v>
      </c>
      <c r="AR43" s="210" t="s">
        <v>105</v>
      </c>
      <c r="AS43" s="210" t="s">
        <v>105</v>
      </c>
      <c r="AT43" s="210" t="s">
        <v>105</v>
      </c>
      <c r="AU43" s="213">
        <v>44922</v>
      </c>
      <c r="AV43" s="210" t="s">
        <v>105</v>
      </c>
      <c r="AW43" s="210" t="s">
        <v>105</v>
      </c>
      <c r="AX43" s="213">
        <v>44924</v>
      </c>
      <c r="AY43" s="213">
        <v>44924</v>
      </c>
      <c r="AZ43" s="213">
        <v>44936</v>
      </c>
      <c r="BA43" s="210" t="s">
        <v>30</v>
      </c>
      <c r="BB43" s="217" t="s">
        <v>105</v>
      </c>
      <c r="BC43" s="218">
        <f t="shared" si="4"/>
        <v>24</v>
      </c>
      <c r="BD43" s="210" t="str">
        <f t="shared" si="0"/>
        <v>INDENIZAÇÃO</v>
      </c>
      <c r="BE43" s="210" t="str">
        <f t="shared" si="1"/>
        <v>NÃO</v>
      </c>
      <c r="BF43" s="210" t="s">
        <v>24</v>
      </c>
      <c r="BG43" s="210" t="s">
        <v>24</v>
      </c>
      <c r="BH43" s="210" t="s">
        <v>24</v>
      </c>
      <c r="BI43" s="254" t="s">
        <v>105</v>
      </c>
      <c r="BJ43" s="254" t="s">
        <v>105</v>
      </c>
      <c r="BK43" s="253">
        <v>45057</v>
      </c>
      <c r="BL43" s="254" t="s">
        <v>105</v>
      </c>
      <c r="BM43" s="265" t="s">
        <v>105</v>
      </c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2"/>
      <c r="DP43" s="212"/>
    </row>
    <row r="44" spans="1:120" s="222" customFormat="1" ht="35.25" hidden="1" customHeight="1" x14ac:dyDescent="0.25">
      <c r="A44" s="210">
        <v>31</v>
      </c>
      <c r="B44" s="210" t="s">
        <v>99</v>
      </c>
      <c r="C44" s="220">
        <v>1</v>
      </c>
      <c r="D44" s="210">
        <v>0</v>
      </c>
      <c r="E44" s="210">
        <v>0</v>
      </c>
      <c r="F44" s="270" t="s">
        <v>277</v>
      </c>
      <c r="G44" s="220" t="s">
        <v>1</v>
      </c>
      <c r="H44" s="220" t="s">
        <v>2</v>
      </c>
      <c r="I44" s="210" t="s">
        <v>12</v>
      </c>
      <c r="J44" s="270" t="s">
        <v>278</v>
      </c>
      <c r="K44" s="270" t="s">
        <v>279</v>
      </c>
      <c r="L44" s="270" t="s">
        <v>280</v>
      </c>
      <c r="M44" s="220" t="s">
        <v>4</v>
      </c>
      <c r="N44" s="220" t="s">
        <v>14</v>
      </c>
      <c r="O44" s="213">
        <v>44900</v>
      </c>
      <c r="P44" s="213">
        <v>44921</v>
      </c>
      <c r="Q44" s="213" t="s">
        <v>114</v>
      </c>
      <c r="R44" s="213" t="s">
        <v>105</v>
      </c>
      <c r="S44" s="213" t="s">
        <v>105</v>
      </c>
      <c r="T44" s="213" t="s">
        <v>105</v>
      </c>
      <c r="U44" s="213">
        <v>44992</v>
      </c>
      <c r="V44" s="213" t="s">
        <v>105</v>
      </c>
      <c r="W44" s="213">
        <v>44992</v>
      </c>
      <c r="X44" s="213">
        <v>45019</v>
      </c>
      <c r="Y44" s="213">
        <v>45019</v>
      </c>
      <c r="Z44" s="213">
        <v>45063</v>
      </c>
      <c r="AA44" s="210" t="s">
        <v>115</v>
      </c>
      <c r="AB44" s="270" t="s">
        <v>278</v>
      </c>
      <c r="AC44" s="270" t="s">
        <v>279</v>
      </c>
      <c r="AD44" s="270" t="s">
        <v>280</v>
      </c>
      <c r="AE44" s="220" t="s">
        <v>12</v>
      </c>
      <c r="AF44" s="210" t="s">
        <v>4</v>
      </c>
      <c r="AG44" s="291">
        <v>31100</v>
      </c>
      <c r="AH44" s="291">
        <v>60000</v>
      </c>
      <c r="AI44" s="214" t="s">
        <v>23</v>
      </c>
      <c r="AJ44" s="230" t="s">
        <v>104</v>
      </c>
      <c r="AK44" s="210" t="s">
        <v>105</v>
      </c>
      <c r="AL44" s="210" t="s">
        <v>24</v>
      </c>
      <c r="AM44" s="210" t="s">
        <v>24</v>
      </c>
      <c r="AN44" s="210" t="s">
        <v>24</v>
      </c>
      <c r="AO44" s="210"/>
      <c r="AP44" s="219" t="s">
        <v>24</v>
      </c>
      <c r="AQ44" s="210" t="s">
        <v>24</v>
      </c>
      <c r="AR44" s="210" t="s">
        <v>24</v>
      </c>
      <c r="AS44" s="210" t="s">
        <v>24</v>
      </c>
      <c r="AT44" s="210" t="s">
        <v>24</v>
      </c>
      <c r="AU44" s="210" t="s">
        <v>24</v>
      </c>
      <c r="AV44" s="210" t="s">
        <v>24</v>
      </c>
      <c r="AW44" s="210" t="s">
        <v>24</v>
      </c>
      <c r="AX44" s="213">
        <v>45019</v>
      </c>
      <c r="AY44" s="213">
        <v>45019</v>
      </c>
      <c r="AZ44" s="213">
        <v>45063</v>
      </c>
      <c r="BA44" s="210" t="s">
        <v>30</v>
      </c>
      <c r="BB44" s="217" t="s">
        <v>105</v>
      </c>
      <c r="BC44" s="218">
        <f t="shared" si="4"/>
        <v>119</v>
      </c>
      <c r="BD44" s="210" t="str">
        <f t="shared" si="0"/>
        <v>AA</v>
      </c>
      <c r="BE44" s="210" t="str">
        <f t="shared" si="1"/>
        <v>NÃO</v>
      </c>
      <c r="BF44" s="210" t="s">
        <v>24</v>
      </c>
      <c r="BG44" s="210" t="s">
        <v>24</v>
      </c>
      <c r="BH44" s="210" t="s">
        <v>24</v>
      </c>
      <c r="BI44" s="210" t="s">
        <v>24</v>
      </c>
      <c r="BJ44" s="210" t="s">
        <v>24</v>
      </c>
      <c r="BK44" s="210" t="s">
        <v>24</v>
      </c>
      <c r="BL44" s="210" t="s">
        <v>24</v>
      </c>
      <c r="BM44" s="265" t="s">
        <v>105</v>
      </c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23"/>
      <c r="DP44" s="223"/>
    </row>
    <row r="45" spans="1:120" s="211" customFormat="1" ht="35.25" hidden="1" customHeight="1" x14ac:dyDescent="0.25">
      <c r="A45" s="210">
        <v>32</v>
      </c>
      <c r="B45" s="210" t="s">
        <v>99</v>
      </c>
      <c r="C45" s="220">
        <v>1</v>
      </c>
      <c r="D45" s="210">
        <v>0</v>
      </c>
      <c r="E45" s="210">
        <v>0</v>
      </c>
      <c r="F45" s="270" t="s">
        <v>281</v>
      </c>
      <c r="G45" s="220" t="s">
        <v>1</v>
      </c>
      <c r="H45" s="220" t="s">
        <v>2</v>
      </c>
      <c r="I45" s="210" t="s">
        <v>12</v>
      </c>
      <c r="J45" s="270" t="s">
        <v>282</v>
      </c>
      <c r="K45" s="270" t="s">
        <v>283</v>
      </c>
      <c r="L45" s="270" t="s">
        <v>284</v>
      </c>
      <c r="M45" s="220" t="s">
        <v>4</v>
      </c>
      <c r="N45" s="220" t="s">
        <v>14</v>
      </c>
      <c r="O45" s="213">
        <v>44900</v>
      </c>
      <c r="P45" s="213">
        <v>44921</v>
      </c>
      <c r="Q45" s="213" t="s">
        <v>114</v>
      </c>
      <c r="R45" s="213" t="s">
        <v>105</v>
      </c>
      <c r="S45" s="213" t="s">
        <v>105</v>
      </c>
      <c r="T45" s="213" t="s">
        <v>105</v>
      </c>
      <c r="U45" s="213">
        <v>44992</v>
      </c>
      <c r="V45" s="213" t="s">
        <v>105</v>
      </c>
      <c r="W45" s="213">
        <v>44992</v>
      </c>
      <c r="X45" s="213">
        <v>45019</v>
      </c>
      <c r="Y45" s="213">
        <v>45019</v>
      </c>
      <c r="Z45" s="213">
        <v>45063</v>
      </c>
      <c r="AA45" s="210" t="s">
        <v>115</v>
      </c>
      <c r="AB45" s="270" t="s">
        <v>282</v>
      </c>
      <c r="AC45" s="270" t="s">
        <v>283</v>
      </c>
      <c r="AD45" s="270" t="s">
        <v>284</v>
      </c>
      <c r="AE45" s="220" t="s">
        <v>12</v>
      </c>
      <c r="AF45" s="210" t="s">
        <v>4</v>
      </c>
      <c r="AG45" s="291">
        <v>3400</v>
      </c>
      <c r="AH45" s="291">
        <v>33400</v>
      </c>
      <c r="AI45" s="214" t="s">
        <v>23</v>
      </c>
      <c r="AJ45" s="230" t="s">
        <v>104</v>
      </c>
      <c r="AK45" s="210" t="s">
        <v>105</v>
      </c>
      <c r="AL45" s="210" t="s">
        <v>24</v>
      </c>
      <c r="AM45" s="210" t="s">
        <v>24</v>
      </c>
      <c r="AN45" s="210" t="s">
        <v>24</v>
      </c>
      <c r="AO45" s="210"/>
      <c r="AP45" s="219" t="s">
        <v>24</v>
      </c>
      <c r="AQ45" s="210" t="s">
        <v>24</v>
      </c>
      <c r="AR45" s="210" t="s">
        <v>24</v>
      </c>
      <c r="AS45" s="210" t="s">
        <v>24</v>
      </c>
      <c r="AT45" s="210" t="s">
        <v>24</v>
      </c>
      <c r="AU45" s="210" t="s">
        <v>24</v>
      </c>
      <c r="AV45" s="210" t="s">
        <v>24</v>
      </c>
      <c r="AW45" s="210" t="s">
        <v>24</v>
      </c>
      <c r="AX45" s="213">
        <v>45019</v>
      </c>
      <c r="AY45" s="213">
        <v>45019</v>
      </c>
      <c r="AZ45" s="213">
        <v>45063</v>
      </c>
      <c r="BA45" s="210" t="s">
        <v>30</v>
      </c>
      <c r="BB45" s="217" t="s">
        <v>105</v>
      </c>
      <c r="BC45" s="218">
        <f t="shared" si="4"/>
        <v>119</v>
      </c>
      <c r="BD45" s="210" t="str">
        <f t="shared" si="0"/>
        <v>AA</v>
      </c>
      <c r="BE45" s="210" t="str">
        <f t="shared" si="1"/>
        <v>NÃO</v>
      </c>
      <c r="BF45" s="210" t="s">
        <v>24</v>
      </c>
      <c r="BG45" s="210" t="s">
        <v>24</v>
      </c>
      <c r="BH45" s="210" t="s">
        <v>24</v>
      </c>
      <c r="BI45" s="210" t="s">
        <v>24</v>
      </c>
      <c r="BJ45" s="210" t="s">
        <v>24</v>
      </c>
      <c r="BK45" s="210" t="s">
        <v>24</v>
      </c>
      <c r="BL45" s="210" t="s">
        <v>24</v>
      </c>
      <c r="BM45" s="265" t="s">
        <v>105</v>
      </c>
      <c r="BN45" s="210"/>
      <c r="BO45" s="210"/>
      <c r="BP45" s="210"/>
      <c r="BQ45" s="210"/>
      <c r="BR45" s="210"/>
      <c r="BS45" s="210"/>
      <c r="BT45" s="210"/>
      <c r="BU45" s="210"/>
      <c r="BV45" s="210"/>
      <c r="BW45" s="210"/>
      <c r="BX45" s="210"/>
      <c r="BY45" s="210"/>
      <c r="BZ45" s="212"/>
      <c r="DP45" s="212"/>
    </row>
    <row r="46" spans="1:120" s="211" customFormat="1" ht="35.25" hidden="1" customHeight="1" x14ac:dyDescent="0.25">
      <c r="A46" s="210">
        <v>33</v>
      </c>
      <c r="B46" s="210" t="s">
        <v>99</v>
      </c>
      <c r="C46" s="220">
        <v>1</v>
      </c>
      <c r="D46" s="210">
        <v>0</v>
      </c>
      <c r="E46" s="210">
        <v>0</v>
      </c>
      <c r="F46" s="270" t="s">
        <v>285</v>
      </c>
      <c r="G46" s="220" t="s">
        <v>1</v>
      </c>
      <c r="H46" s="220" t="s">
        <v>2</v>
      </c>
      <c r="I46" s="220" t="s">
        <v>121</v>
      </c>
      <c r="J46" s="270" t="s">
        <v>286</v>
      </c>
      <c r="K46" s="270" t="s">
        <v>287</v>
      </c>
      <c r="L46" s="270" t="s">
        <v>288</v>
      </c>
      <c r="M46" s="220" t="s">
        <v>4</v>
      </c>
      <c r="N46" s="220" t="s">
        <v>14</v>
      </c>
      <c r="O46" s="213">
        <v>44900</v>
      </c>
      <c r="P46" s="213">
        <v>44921</v>
      </c>
      <c r="Q46" s="213" t="s">
        <v>114</v>
      </c>
      <c r="R46" s="213" t="s">
        <v>105</v>
      </c>
      <c r="S46" s="213" t="s">
        <v>105</v>
      </c>
      <c r="T46" s="213" t="s">
        <v>105</v>
      </c>
      <c r="U46" s="213">
        <v>44992</v>
      </c>
      <c r="V46" s="213" t="s">
        <v>105</v>
      </c>
      <c r="W46" s="213">
        <v>44992</v>
      </c>
      <c r="X46" s="213">
        <v>45019</v>
      </c>
      <c r="Y46" s="213">
        <v>45019</v>
      </c>
      <c r="Z46" s="213">
        <v>45063</v>
      </c>
      <c r="AA46" s="210" t="s">
        <v>115</v>
      </c>
      <c r="AB46" s="270" t="s">
        <v>282</v>
      </c>
      <c r="AC46" s="270" t="s">
        <v>283</v>
      </c>
      <c r="AD46" s="270" t="s">
        <v>284</v>
      </c>
      <c r="AE46" s="220" t="s">
        <v>3</v>
      </c>
      <c r="AF46" s="210" t="s">
        <v>24</v>
      </c>
      <c r="AG46" s="291">
        <v>34900</v>
      </c>
      <c r="AH46" s="291">
        <v>60000</v>
      </c>
      <c r="AI46" s="214" t="s">
        <v>289</v>
      </c>
      <c r="AJ46" s="230" t="s">
        <v>104</v>
      </c>
      <c r="AK46" s="210" t="s">
        <v>24</v>
      </c>
      <c r="AL46" s="210" t="s">
        <v>24</v>
      </c>
      <c r="AM46" s="210" t="s">
        <v>24</v>
      </c>
      <c r="AN46" s="210" t="s">
        <v>24</v>
      </c>
      <c r="AO46" s="210"/>
      <c r="AP46" s="219" t="s">
        <v>24</v>
      </c>
      <c r="AQ46" s="210" t="s">
        <v>24</v>
      </c>
      <c r="AR46" s="210" t="s">
        <v>24</v>
      </c>
      <c r="AS46" s="210" t="s">
        <v>24</v>
      </c>
      <c r="AT46" s="210" t="s">
        <v>24</v>
      </c>
      <c r="AU46" s="210" t="s">
        <v>24</v>
      </c>
      <c r="AV46" s="210" t="s">
        <v>24</v>
      </c>
      <c r="AW46" s="210" t="s">
        <v>24</v>
      </c>
      <c r="AX46" s="210" t="s">
        <v>24</v>
      </c>
      <c r="AY46" s="210" t="s">
        <v>24</v>
      </c>
      <c r="AZ46" s="213">
        <v>45063</v>
      </c>
      <c r="BA46" s="210" t="s">
        <v>30</v>
      </c>
      <c r="BB46" s="217" t="s">
        <v>105</v>
      </c>
      <c r="BC46" s="218" t="s">
        <v>24</v>
      </c>
      <c r="BD46" s="210" t="str">
        <f t="shared" ref="BD46:BD77" si="5">IF(AND(AI46&lt;&gt;"SIM",AI46="UH"),"AA","INDENIZAÇÃO")</f>
        <v>INDENIZAÇÃO</v>
      </c>
      <c r="BE46" s="210" t="str">
        <f t="shared" si="1"/>
        <v>NÃO</v>
      </c>
      <c r="BF46" s="210" t="s">
        <v>24</v>
      </c>
      <c r="BG46" s="210" t="s">
        <v>24</v>
      </c>
      <c r="BH46" s="210" t="s">
        <v>24</v>
      </c>
      <c r="BI46" s="210" t="s">
        <v>24</v>
      </c>
      <c r="BJ46" s="210" t="s">
        <v>24</v>
      </c>
      <c r="BK46" s="210" t="s">
        <v>24</v>
      </c>
      <c r="BL46" s="210" t="s">
        <v>24</v>
      </c>
      <c r="BM46" s="251" t="s">
        <v>105</v>
      </c>
      <c r="BN46" s="210"/>
      <c r="BO46" s="210"/>
      <c r="BP46" s="210"/>
      <c r="BQ46" s="210"/>
      <c r="BR46" s="210"/>
      <c r="BS46" s="210"/>
      <c r="BT46" s="210"/>
      <c r="BU46" s="210"/>
      <c r="BV46" s="210"/>
      <c r="BW46" s="210"/>
      <c r="BX46" s="210"/>
      <c r="BY46" s="210"/>
      <c r="BZ46" s="212"/>
      <c r="DP46" s="212"/>
    </row>
    <row r="47" spans="1:120" s="222" customFormat="1" ht="35.25" hidden="1" customHeight="1" x14ac:dyDescent="0.25">
      <c r="A47" s="210">
        <v>34</v>
      </c>
      <c r="B47" s="210" t="s">
        <v>99</v>
      </c>
      <c r="C47" s="220">
        <v>1</v>
      </c>
      <c r="D47" s="210">
        <v>0</v>
      </c>
      <c r="E47" s="210">
        <v>0</v>
      </c>
      <c r="F47" s="270" t="s">
        <v>290</v>
      </c>
      <c r="G47" s="220" t="s">
        <v>1</v>
      </c>
      <c r="H47" s="220" t="s">
        <v>2</v>
      </c>
      <c r="I47" s="220" t="s">
        <v>121</v>
      </c>
      <c r="J47" s="270" t="s">
        <v>291</v>
      </c>
      <c r="K47" s="270" t="s">
        <v>292</v>
      </c>
      <c r="L47" s="270" t="s">
        <v>293</v>
      </c>
      <c r="M47" s="220" t="s">
        <v>4</v>
      </c>
      <c r="N47" s="220" t="s">
        <v>14</v>
      </c>
      <c r="O47" s="213">
        <v>44900</v>
      </c>
      <c r="P47" s="213">
        <v>44921</v>
      </c>
      <c r="Q47" s="213" t="s">
        <v>114</v>
      </c>
      <c r="R47" s="213" t="s">
        <v>105</v>
      </c>
      <c r="S47" s="213" t="s">
        <v>105</v>
      </c>
      <c r="T47" s="213" t="s">
        <v>105</v>
      </c>
      <c r="U47" s="213">
        <v>44992</v>
      </c>
      <c r="V47" s="213" t="s">
        <v>105</v>
      </c>
      <c r="W47" s="213">
        <v>44992</v>
      </c>
      <c r="X47" s="213">
        <v>45019</v>
      </c>
      <c r="Y47" s="213">
        <v>45019</v>
      </c>
      <c r="Z47" s="213">
        <v>45063</v>
      </c>
      <c r="AA47" s="210" t="s">
        <v>115</v>
      </c>
      <c r="AB47" s="270" t="s">
        <v>282</v>
      </c>
      <c r="AC47" s="270" t="s">
        <v>283</v>
      </c>
      <c r="AD47" s="270" t="s">
        <v>284</v>
      </c>
      <c r="AE47" s="220" t="s">
        <v>3</v>
      </c>
      <c r="AF47" s="210" t="s">
        <v>24</v>
      </c>
      <c r="AG47" s="291">
        <v>20300</v>
      </c>
      <c r="AH47" s="291">
        <v>50300</v>
      </c>
      <c r="AI47" s="214" t="s">
        <v>289</v>
      </c>
      <c r="AJ47" s="230" t="s">
        <v>104</v>
      </c>
      <c r="AK47" s="210" t="s">
        <v>24</v>
      </c>
      <c r="AL47" s="210" t="s">
        <v>24</v>
      </c>
      <c r="AM47" s="210" t="s">
        <v>24</v>
      </c>
      <c r="AN47" s="210" t="s">
        <v>24</v>
      </c>
      <c r="AO47" s="210"/>
      <c r="AP47" s="219" t="s">
        <v>24</v>
      </c>
      <c r="AQ47" s="210" t="s">
        <v>24</v>
      </c>
      <c r="AR47" s="210" t="s">
        <v>24</v>
      </c>
      <c r="AS47" s="210" t="s">
        <v>24</v>
      </c>
      <c r="AT47" s="210" t="s">
        <v>24</v>
      </c>
      <c r="AU47" s="210" t="s">
        <v>24</v>
      </c>
      <c r="AV47" s="210" t="s">
        <v>24</v>
      </c>
      <c r="AW47" s="210" t="s">
        <v>24</v>
      </c>
      <c r="AX47" s="210" t="s">
        <v>24</v>
      </c>
      <c r="AY47" s="210" t="s">
        <v>24</v>
      </c>
      <c r="AZ47" s="213">
        <v>45063</v>
      </c>
      <c r="BA47" s="210" t="s">
        <v>30</v>
      </c>
      <c r="BB47" s="217" t="s">
        <v>105</v>
      </c>
      <c r="BC47" s="218" t="s">
        <v>24</v>
      </c>
      <c r="BD47" s="210" t="str">
        <f t="shared" si="5"/>
        <v>INDENIZAÇÃO</v>
      </c>
      <c r="BE47" s="210" t="str">
        <f t="shared" si="1"/>
        <v>NÃO</v>
      </c>
      <c r="BF47" s="210" t="s">
        <v>24</v>
      </c>
      <c r="BG47" s="210" t="s">
        <v>24</v>
      </c>
      <c r="BH47" s="210" t="s">
        <v>24</v>
      </c>
      <c r="BI47" s="210" t="s">
        <v>24</v>
      </c>
      <c r="BJ47" s="210" t="s">
        <v>24</v>
      </c>
      <c r="BK47" s="210" t="s">
        <v>24</v>
      </c>
      <c r="BL47" s="210" t="s">
        <v>24</v>
      </c>
      <c r="BM47" s="251" t="s">
        <v>105</v>
      </c>
      <c r="BN47" s="210"/>
      <c r="BO47" s="210"/>
      <c r="BP47" s="210"/>
      <c r="BQ47" s="210"/>
      <c r="BR47" s="210"/>
      <c r="BS47" s="210"/>
      <c r="BT47" s="210"/>
      <c r="BU47" s="210"/>
      <c r="BV47" s="210"/>
      <c r="BW47" s="210"/>
      <c r="BX47" s="210"/>
      <c r="BY47" s="210"/>
      <c r="BZ47" s="223"/>
      <c r="DP47" s="223"/>
    </row>
    <row r="48" spans="1:120" s="211" customFormat="1" ht="35.25" customHeight="1" x14ac:dyDescent="0.25">
      <c r="A48" s="210">
        <v>35</v>
      </c>
      <c r="B48" s="210" t="s">
        <v>99</v>
      </c>
      <c r="C48" s="210">
        <v>1</v>
      </c>
      <c r="D48" s="210">
        <v>0</v>
      </c>
      <c r="E48" s="210">
        <v>0</v>
      </c>
      <c r="F48" s="219" t="s">
        <v>294</v>
      </c>
      <c r="G48" s="210" t="s">
        <v>138</v>
      </c>
      <c r="H48" s="210" t="s">
        <v>2</v>
      </c>
      <c r="I48" s="210" t="s">
        <v>24</v>
      </c>
      <c r="J48" s="219" t="s">
        <v>139</v>
      </c>
      <c r="K48" s="219" t="s">
        <v>139</v>
      </c>
      <c r="L48" s="219" t="s">
        <v>139</v>
      </c>
      <c r="M48" s="220" t="s">
        <v>4</v>
      </c>
      <c r="N48" s="220" t="s">
        <v>5</v>
      </c>
      <c r="O48" s="213">
        <v>44900</v>
      </c>
      <c r="P48" s="229" t="s">
        <v>24</v>
      </c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8"/>
      <c r="AB48" s="219" t="s">
        <v>295</v>
      </c>
      <c r="AC48" s="219" t="s">
        <v>296</v>
      </c>
      <c r="AD48" s="219" t="s">
        <v>297</v>
      </c>
      <c r="AE48" s="220" t="s">
        <v>3</v>
      </c>
      <c r="AF48" s="210" t="s">
        <v>4</v>
      </c>
      <c r="AG48" s="230">
        <v>8500</v>
      </c>
      <c r="AH48" s="230">
        <v>38500</v>
      </c>
      <c r="AI48" s="214" t="s">
        <v>6</v>
      </c>
      <c r="AJ48" s="230" t="s">
        <v>104</v>
      </c>
      <c r="AK48" s="210" t="s">
        <v>105</v>
      </c>
      <c r="AL48" s="210" t="s">
        <v>105</v>
      </c>
      <c r="AM48" s="210" t="s">
        <v>105</v>
      </c>
      <c r="AN48" s="210" t="s">
        <v>106</v>
      </c>
      <c r="AO48" s="210"/>
      <c r="AP48" s="219" t="s">
        <v>298</v>
      </c>
      <c r="AQ48" s="210" t="s">
        <v>105</v>
      </c>
      <c r="AR48" s="210" t="s">
        <v>105</v>
      </c>
      <c r="AS48" s="210" t="s">
        <v>105</v>
      </c>
      <c r="AT48" s="210" t="s">
        <v>105</v>
      </c>
      <c r="AU48" s="213">
        <v>44922</v>
      </c>
      <c r="AV48" s="210" t="s">
        <v>105</v>
      </c>
      <c r="AW48" s="210" t="s">
        <v>105</v>
      </c>
      <c r="AX48" s="213">
        <v>44924</v>
      </c>
      <c r="AY48" s="213">
        <v>44924</v>
      </c>
      <c r="AZ48" s="213">
        <v>44936</v>
      </c>
      <c r="BA48" s="210" t="s">
        <v>30</v>
      </c>
      <c r="BB48" s="217" t="s">
        <v>105</v>
      </c>
      <c r="BC48" s="218">
        <f t="shared" ref="BC48:BC68" si="6">IF(AY48-ON48=0,"",AY48-O48)</f>
        <v>24</v>
      </c>
      <c r="BD48" s="210" t="str">
        <f t="shared" si="5"/>
        <v>INDENIZAÇÃO</v>
      </c>
      <c r="BE48" s="210" t="str">
        <f t="shared" si="1"/>
        <v>NÃO</v>
      </c>
      <c r="BF48" s="210" t="s">
        <v>24</v>
      </c>
      <c r="BG48" s="210" t="s">
        <v>24</v>
      </c>
      <c r="BH48" s="210" t="s">
        <v>24</v>
      </c>
      <c r="BI48" s="210" t="s">
        <v>105</v>
      </c>
      <c r="BJ48" s="210" t="s">
        <v>105</v>
      </c>
      <c r="BK48" s="253">
        <v>45057</v>
      </c>
      <c r="BL48" s="254" t="s">
        <v>105</v>
      </c>
      <c r="BM48" s="265" t="s">
        <v>105</v>
      </c>
      <c r="BN48" s="210"/>
      <c r="BO48" s="210"/>
      <c r="BP48" s="210"/>
      <c r="BQ48" s="210"/>
      <c r="BR48" s="210"/>
      <c r="BS48" s="210"/>
      <c r="BT48" s="210"/>
      <c r="BU48" s="210"/>
      <c r="BV48" s="210"/>
      <c r="BW48" s="210"/>
      <c r="BX48" s="210"/>
      <c r="BY48" s="210"/>
      <c r="BZ48" s="212"/>
      <c r="DP48" s="212"/>
    </row>
    <row r="49" spans="1:120" s="211" customFormat="1" ht="35.25" customHeight="1" x14ac:dyDescent="0.25">
      <c r="A49" s="210">
        <v>36</v>
      </c>
      <c r="B49" s="210" t="s">
        <v>99</v>
      </c>
      <c r="C49" s="210">
        <v>1</v>
      </c>
      <c r="D49" s="210">
        <v>0</v>
      </c>
      <c r="E49" s="210">
        <v>0</v>
      </c>
      <c r="F49" s="219" t="s">
        <v>299</v>
      </c>
      <c r="G49" s="210" t="s">
        <v>1</v>
      </c>
      <c r="H49" s="210" t="s">
        <v>2</v>
      </c>
      <c r="I49" s="210" t="s">
        <v>121</v>
      </c>
      <c r="J49" s="231" t="s">
        <v>300</v>
      </c>
      <c r="K49" s="231" t="s">
        <v>301</v>
      </c>
      <c r="L49" s="231" t="s">
        <v>302</v>
      </c>
      <c r="M49" s="220" t="s">
        <v>4</v>
      </c>
      <c r="N49" s="220" t="s">
        <v>14</v>
      </c>
      <c r="O49" s="213">
        <v>44900</v>
      </c>
      <c r="P49" s="213">
        <v>45081</v>
      </c>
      <c r="Q49" s="213" t="s">
        <v>114</v>
      </c>
      <c r="R49" s="213" t="s">
        <v>105</v>
      </c>
      <c r="S49" s="213" t="s">
        <v>105</v>
      </c>
      <c r="T49" s="213" t="s">
        <v>105</v>
      </c>
      <c r="U49" s="213" t="s">
        <v>267</v>
      </c>
      <c r="V49" s="213" t="s">
        <v>105</v>
      </c>
      <c r="W49" s="213" t="s">
        <v>303</v>
      </c>
      <c r="X49" s="213" t="s">
        <v>269</v>
      </c>
      <c r="Y49" s="213" t="s">
        <v>269</v>
      </c>
      <c r="Z49" s="213">
        <v>45099</v>
      </c>
      <c r="AA49" s="210"/>
      <c r="AB49" s="219" t="s">
        <v>304</v>
      </c>
      <c r="AC49" s="219" t="s">
        <v>305</v>
      </c>
      <c r="AD49" s="219" t="s">
        <v>306</v>
      </c>
      <c r="AE49" s="220" t="s">
        <v>3</v>
      </c>
      <c r="AF49" s="210" t="s">
        <v>4</v>
      </c>
      <c r="AG49" s="230">
        <v>33500</v>
      </c>
      <c r="AH49" s="230">
        <v>60000</v>
      </c>
      <c r="AI49" s="214" t="s">
        <v>6</v>
      </c>
      <c r="AJ49" s="230" t="s">
        <v>104</v>
      </c>
      <c r="AK49" s="210" t="s">
        <v>105</v>
      </c>
      <c r="AL49" s="210" t="s">
        <v>105</v>
      </c>
      <c r="AM49" s="210" t="s">
        <v>105</v>
      </c>
      <c r="AN49" s="210" t="s">
        <v>106</v>
      </c>
      <c r="AO49" s="228"/>
      <c r="AP49" s="219" t="s">
        <v>307</v>
      </c>
      <c r="AQ49" s="210" t="s">
        <v>105</v>
      </c>
      <c r="AR49" s="210" t="s">
        <v>105</v>
      </c>
      <c r="AS49" s="210" t="s">
        <v>105</v>
      </c>
      <c r="AT49" s="210" t="s">
        <v>105</v>
      </c>
      <c r="AU49" s="213">
        <v>45351</v>
      </c>
      <c r="AV49" s="210" t="s">
        <v>105</v>
      </c>
      <c r="AW49" s="210" t="s">
        <v>105</v>
      </c>
      <c r="AX49" s="213">
        <v>45372</v>
      </c>
      <c r="AY49" s="221">
        <v>45372</v>
      </c>
      <c r="AZ49" s="213">
        <v>45099</v>
      </c>
      <c r="BA49" s="210" t="s">
        <v>30</v>
      </c>
      <c r="BB49" s="217" t="s">
        <v>105</v>
      </c>
      <c r="BC49" s="218">
        <f t="shared" si="6"/>
        <v>472</v>
      </c>
      <c r="BD49" s="210" t="str">
        <f t="shared" si="5"/>
        <v>INDENIZAÇÃO</v>
      </c>
      <c r="BE49" s="210" t="str">
        <f t="shared" si="1"/>
        <v>NÃO</v>
      </c>
      <c r="BF49" s="210" t="s">
        <v>24</v>
      </c>
      <c r="BG49" s="210" t="s">
        <v>24</v>
      </c>
      <c r="BH49" s="210" t="s">
        <v>24</v>
      </c>
      <c r="BI49" s="210" t="s">
        <v>105</v>
      </c>
      <c r="BJ49" s="210" t="s">
        <v>105</v>
      </c>
      <c r="BK49" s="213">
        <v>45510</v>
      </c>
      <c r="BL49" s="210" t="s">
        <v>105</v>
      </c>
      <c r="BM49" s="241" t="s">
        <v>220</v>
      </c>
      <c r="BN49" s="210"/>
      <c r="BO49" s="210"/>
      <c r="BP49" s="210"/>
      <c r="BQ49" s="210"/>
      <c r="BR49" s="210"/>
      <c r="BS49" s="210"/>
      <c r="BT49" s="210"/>
      <c r="BU49" s="210"/>
      <c r="BV49" s="210"/>
      <c r="BW49" s="210"/>
      <c r="BX49" s="210"/>
      <c r="BY49" s="210"/>
      <c r="BZ49" s="212"/>
      <c r="DP49" s="212"/>
    </row>
    <row r="50" spans="1:120" s="211" customFormat="1" ht="35.25" customHeight="1" x14ac:dyDescent="0.25">
      <c r="A50" s="210">
        <v>37</v>
      </c>
      <c r="B50" s="210" t="s">
        <v>99</v>
      </c>
      <c r="C50" s="220">
        <v>1</v>
      </c>
      <c r="D50" s="210">
        <v>0</v>
      </c>
      <c r="E50" s="210">
        <v>0</v>
      </c>
      <c r="F50" s="270" t="s">
        <v>308</v>
      </c>
      <c r="G50" s="220" t="s">
        <v>1</v>
      </c>
      <c r="H50" s="220" t="s">
        <v>2</v>
      </c>
      <c r="I50" s="220" t="s">
        <v>121</v>
      </c>
      <c r="J50" s="270" t="s">
        <v>309</v>
      </c>
      <c r="K50" s="270" t="s">
        <v>310</v>
      </c>
      <c r="L50" s="270" t="s">
        <v>311</v>
      </c>
      <c r="M50" s="220" t="s">
        <v>4</v>
      </c>
      <c r="N50" s="220" t="s">
        <v>312</v>
      </c>
      <c r="O50" s="213">
        <v>44900</v>
      </c>
      <c r="P50" s="213">
        <v>44921</v>
      </c>
      <c r="Q50" s="213" t="s">
        <v>114</v>
      </c>
      <c r="R50" s="213" t="s">
        <v>24</v>
      </c>
      <c r="S50" s="213" t="s">
        <v>24</v>
      </c>
      <c r="T50" s="213" t="s">
        <v>24</v>
      </c>
      <c r="U50" s="213" t="s">
        <v>24</v>
      </c>
      <c r="V50" s="213" t="s">
        <v>24</v>
      </c>
      <c r="W50" s="213" t="s">
        <v>24</v>
      </c>
      <c r="X50" s="213" t="s">
        <v>24</v>
      </c>
      <c r="Y50" s="213" t="s">
        <v>24</v>
      </c>
      <c r="Z50" s="213">
        <v>45128</v>
      </c>
      <c r="AA50" s="213" t="s">
        <v>313</v>
      </c>
      <c r="AB50" s="271" t="s">
        <v>314</v>
      </c>
      <c r="AC50" s="275">
        <v>36973178</v>
      </c>
      <c r="AD50" s="270" t="s">
        <v>315</v>
      </c>
      <c r="AE50" s="220" t="s">
        <v>3</v>
      </c>
      <c r="AF50" s="210" t="s">
        <v>4</v>
      </c>
      <c r="AG50" s="291">
        <v>0</v>
      </c>
      <c r="AH50" s="291">
        <v>60000</v>
      </c>
      <c r="AI50" s="214" t="s">
        <v>6</v>
      </c>
      <c r="AJ50" s="230" t="s">
        <v>104</v>
      </c>
      <c r="AK50" s="210" t="s">
        <v>105</v>
      </c>
      <c r="AL50" s="210" t="s">
        <v>105</v>
      </c>
      <c r="AM50" s="210" t="s">
        <v>105</v>
      </c>
      <c r="AN50" s="210" t="s">
        <v>106</v>
      </c>
      <c r="AO50" s="210"/>
      <c r="AP50" s="219" t="s">
        <v>316</v>
      </c>
      <c r="AQ50" s="210" t="s">
        <v>105</v>
      </c>
      <c r="AR50" s="210" t="s">
        <v>105</v>
      </c>
      <c r="AS50" s="210" t="s">
        <v>105</v>
      </c>
      <c r="AT50" s="210" t="s">
        <v>105</v>
      </c>
      <c r="AU50" s="213">
        <v>44922</v>
      </c>
      <c r="AV50" s="210" t="s">
        <v>105</v>
      </c>
      <c r="AW50" s="210" t="s">
        <v>105</v>
      </c>
      <c r="AX50" s="213">
        <v>45013</v>
      </c>
      <c r="AY50" s="213">
        <v>45013</v>
      </c>
      <c r="AZ50" s="213">
        <v>45128</v>
      </c>
      <c r="BA50" s="210" t="s">
        <v>30</v>
      </c>
      <c r="BB50" s="217" t="s">
        <v>105</v>
      </c>
      <c r="BC50" s="218">
        <f t="shared" si="6"/>
        <v>113</v>
      </c>
      <c r="BD50" s="210" t="str">
        <f t="shared" si="5"/>
        <v>INDENIZAÇÃO</v>
      </c>
      <c r="BE50" s="210" t="str">
        <f t="shared" si="1"/>
        <v>NÃO</v>
      </c>
      <c r="BF50" s="210" t="s">
        <v>24</v>
      </c>
      <c r="BG50" s="210" t="s">
        <v>24</v>
      </c>
      <c r="BH50" s="210" t="s">
        <v>24</v>
      </c>
      <c r="BI50" s="210" t="s">
        <v>105</v>
      </c>
      <c r="BJ50" s="210" t="s">
        <v>105</v>
      </c>
      <c r="BK50" s="253">
        <v>45190</v>
      </c>
      <c r="BL50" s="210" t="s">
        <v>105</v>
      </c>
      <c r="BM50" s="265" t="s">
        <v>105</v>
      </c>
      <c r="BN50" s="210"/>
      <c r="BO50" s="210"/>
      <c r="BP50" s="210"/>
      <c r="BQ50" s="210"/>
      <c r="BR50" s="210"/>
      <c r="BS50" s="210"/>
      <c r="BT50" s="210"/>
      <c r="BU50" s="210"/>
      <c r="BV50" s="210"/>
      <c r="BW50" s="210"/>
      <c r="BX50" s="210"/>
      <c r="BY50" s="210"/>
      <c r="BZ50" s="212"/>
      <c r="DP50" s="212"/>
    </row>
    <row r="51" spans="1:120" s="211" customFormat="1" ht="35.25" customHeight="1" x14ac:dyDescent="0.25">
      <c r="A51" s="210">
        <v>38</v>
      </c>
      <c r="B51" s="210" t="s">
        <v>99</v>
      </c>
      <c r="C51" s="210">
        <v>1</v>
      </c>
      <c r="D51" s="210">
        <v>0</v>
      </c>
      <c r="E51" s="210">
        <v>0</v>
      </c>
      <c r="F51" s="219" t="s">
        <v>317</v>
      </c>
      <c r="G51" s="210" t="s">
        <v>1</v>
      </c>
      <c r="H51" s="210" t="s">
        <v>2</v>
      </c>
      <c r="I51" s="210" t="s">
        <v>121</v>
      </c>
      <c r="J51" s="219" t="s">
        <v>318</v>
      </c>
      <c r="K51" s="219" t="s">
        <v>319</v>
      </c>
      <c r="L51" s="219" t="s">
        <v>320</v>
      </c>
      <c r="M51" s="220" t="s">
        <v>4</v>
      </c>
      <c r="N51" s="220" t="s">
        <v>14</v>
      </c>
      <c r="O51" s="213">
        <v>44900</v>
      </c>
      <c r="P51" s="213">
        <v>44921</v>
      </c>
      <c r="Q51" s="213" t="s">
        <v>114</v>
      </c>
      <c r="R51" s="213" t="s">
        <v>105</v>
      </c>
      <c r="S51" s="213" t="s">
        <v>105</v>
      </c>
      <c r="T51" s="213" t="s">
        <v>105</v>
      </c>
      <c r="U51" s="213">
        <v>44992</v>
      </c>
      <c r="V51" s="213" t="s">
        <v>105</v>
      </c>
      <c r="W51" s="213">
        <v>44992</v>
      </c>
      <c r="X51" s="213">
        <v>45019</v>
      </c>
      <c r="Y51" s="213">
        <v>45020</v>
      </c>
      <c r="Z51" s="213">
        <v>45128</v>
      </c>
      <c r="AA51" s="210" t="s">
        <v>115</v>
      </c>
      <c r="AB51" s="231" t="s">
        <v>321</v>
      </c>
      <c r="AC51" s="231" t="s">
        <v>322</v>
      </c>
      <c r="AD51" s="231" t="s">
        <v>323</v>
      </c>
      <c r="AE51" s="220" t="s">
        <v>3</v>
      </c>
      <c r="AF51" s="210" t="s">
        <v>4</v>
      </c>
      <c r="AG51" s="230">
        <v>53700</v>
      </c>
      <c r="AH51" s="230">
        <v>60000</v>
      </c>
      <c r="AI51" s="214" t="s">
        <v>6</v>
      </c>
      <c r="AJ51" s="230" t="s">
        <v>104</v>
      </c>
      <c r="AK51" s="210" t="s">
        <v>105</v>
      </c>
      <c r="AL51" s="210" t="s">
        <v>105</v>
      </c>
      <c r="AM51" s="210" t="s">
        <v>105</v>
      </c>
      <c r="AN51" s="210" t="s">
        <v>106</v>
      </c>
      <c r="AO51" s="210"/>
      <c r="AP51" s="219" t="s">
        <v>324</v>
      </c>
      <c r="AQ51" s="210" t="s">
        <v>105</v>
      </c>
      <c r="AR51" s="210" t="s">
        <v>105</v>
      </c>
      <c r="AS51" s="210" t="s">
        <v>105</v>
      </c>
      <c r="AT51" s="210" t="s">
        <v>105</v>
      </c>
      <c r="AU51" s="213">
        <v>44966</v>
      </c>
      <c r="AV51" s="210" t="s">
        <v>105</v>
      </c>
      <c r="AW51" s="210" t="s">
        <v>105</v>
      </c>
      <c r="AX51" s="213">
        <v>45020</v>
      </c>
      <c r="AY51" s="213">
        <v>45020</v>
      </c>
      <c r="AZ51" s="213">
        <v>45128</v>
      </c>
      <c r="BA51" s="210" t="s">
        <v>30</v>
      </c>
      <c r="BB51" s="217" t="s">
        <v>105</v>
      </c>
      <c r="BC51" s="218">
        <f t="shared" si="6"/>
        <v>120</v>
      </c>
      <c r="BD51" s="210" t="str">
        <f t="shared" si="5"/>
        <v>INDENIZAÇÃO</v>
      </c>
      <c r="BE51" s="210" t="str">
        <f t="shared" si="1"/>
        <v>NÃO</v>
      </c>
      <c r="BF51" s="210" t="s">
        <v>24</v>
      </c>
      <c r="BG51" s="210" t="s">
        <v>24</v>
      </c>
      <c r="BH51" s="210" t="s">
        <v>24</v>
      </c>
      <c r="BI51" s="254" t="s">
        <v>105</v>
      </c>
      <c r="BJ51" s="254" t="s">
        <v>105</v>
      </c>
      <c r="BK51" s="253">
        <v>45190</v>
      </c>
      <c r="BL51" s="254" t="s">
        <v>105</v>
      </c>
      <c r="BM51" s="266" t="s">
        <v>105</v>
      </c>
      <c r="BN51" s="210"/>
      <c r="BO51" s="210"/>
      <c r="BP51" s="210"/>
      <c r="BQ51" s="210"/>
      <c r="BR51" s="210"/>
      <c r="BS51" s="210"/>
      <c r="BT51" s="210"/>
      <c r="BU51" s="210"/>
      <c r="BV51" s="210"/>
      <c r="BW51" s="210"/>
      <c r="BX51" s="210"/>
      <c r="BY51" s="210"/>
      <c r="BZ51" s="212"/>
      <c r="DP51" s="212"/>
    </row>
    <row r="52" spans="1:120" s="211" customFormat="1" ht="35.25" customHeight="1" x14ac:dyDescent="0.25">
      <c r="A52" s="210">
        <v>39</v>
      </c>
      <c r="B52" s="210" t="s">
        <v>99</v>
      </c>
      <c r="C52" s="220">
        <v>1</v>
      </c>
      <c r="D52" s="210">
        <v>0</v>
      </c>
      <c r="E52" s="210">
        <v>0</v>
      </c>
      <c r="F52" s="270" t="s">
        <v>325</v>
      </c>
      <c r="G52" s="220" t="s">
        <v>1</v>
      </c>
      <c r="H52" s="220" t="s">
        <v>2</v>
      </c>
      <c r="I52" s="220" t="s">
        <v>121</v>
      </c>
      <c r="J52" s="270" t="s">
        <v>326</v>
      </c>
      <c r="K52" s="215" t="s">
        <v>327</v>
      </c>
      <c r="L52" s="215" t="s">
        <v>328</v>
      </c>
      <c r="M52" s="228" t="s">
        <v>4</v>
      </c>
      <c r="N52" s="228" t="s">
        <v>14</v>
      </c>
      <c r="O52" s="229">
        <v>44900</v>
      </c>
      <c r="P52" s="213">
        <v>44921</v>
      </c>
      <c r="Q52" s="229" t="s">
        <v>114</v>
      </c>
      <c r="R52" s="229" t="s">
        <v>105</v>
      </c>
      <c r="S52" s="229" t="s">
        <v>105</v>
      </c>
      <c r="T52" s="229" t="s">
        <v>105</v>
      </c>
      <c r="U52" s="213" t="s">
        <v>267</v>
      </c>
      <c r="V52" s="213" t="s">
        <v>105</v>
      </c>
      <c r="W52" s="229">
        <v>45049</v>
      </c>
      <c r="X52" s="213">
        <v>45068</v>
      </c>
      <c r="Y52" s="213" t="s">
        <v>269</v>
      </c>
      <c r="Z52" s="213">
        <v>45128</v>
      </c>
      <c r="AA52" s="210"/>
      <c r="AB52" s="271" t="s">
        <v>329</v>
      </c>
      <c r="AC52" s="271" t="s">
        <v>330</v>
      </c>
      <c r="AD52" s="271" t="s">
        <v>331</v>
      </c>
      <c r="AE52" s="220" t="s">
        <v>3</v>
      </c>
      <c r="AF52" s="210" t="s">
        <v>4</v>
      </c>
      <c r="AG52" s="291">
        <v>41500</v>
      </c>
      <c r="AH52" s="291">
        <v>60000</v>
      </c>
      <c r="AI52" s="214" t="s">
        <v>6</v>
      </c>
      <c r="AJ52" s="230" t="s">
        <v>104</v>
      </c>
      <c r="AK52" s="210" t="s">
        <v>105</v>
      </c>
      <c r="AL52" s="210" t="s">
        <v>105</v>
      </c>
      <c r="AM52" s="210" t="s">
        <v>105</v>
      </c>
      <c r="AN52" s="210" t="s">
        <v>106</v>
      </c>
      <c r="AO52" s="225"/>
      <c r="AP52" s="219" t="s">
        <v>332</v>
      </c>
      <c r="AQ52" s="210" t="s">
        <v>105</v>
      </c>
      <c r="AR52" s="210" t="s">
        <v>105</v>
      </c>
      <c r="AS52" s="210" t="s">
        <v>105</v>
      </c>
      <c r="AT52" s="210" t="s">
        <v>105</v>
      </c>
      <c r="AU52" s="213">
        <v>44966</v>
      </c>
      <c r="AV52" s="210" t="s">
        <v>105</v>
      </c>
      <c r="AW52" s="210" t="s">
        <v>105</v>
      </c>
      <c r="AX52" s="213">
        <v>45012</v>
      </c>
      <c r="AY52" s="213">
        <v>45012</v>
      </c>
      <c r="AZ52" s="213">
        <v>45128</v>
      </c>
      <c r="BA52" s="210" t="s">
        <v>30</v>
      </c>
      <c r="BB52" s="217" t="s">
        <v>105</v>
      </c>
      <c r="BC52" s="218">
        <f t="shared" si="6"/>
        <v>112</v>
      </c>
      <c r="BD52" s="210" t="str">
        <f t="shared" si="5"/>
        <v>INDENIZAÇÃO</v>
      </c>
      <c r="BE52" s="210" t="str">
        <f t="shared" si="1"/>
        <v>NÃO</v>
      </c>
      <c r="BF52" s="210" t="s">
        <v>24</v>
      </c>
      <c r="BG52" s="210" t="s">
        <v>24</v>
      </c>
      <c r="BH52" s="210" t="s">
        <v>24</v>
      </c>
      <c r="BI52" s="210" t="s">
        <v>105</v>
      </c>
      <c r="BJ52" s="210" t="s">
        <v>105</v>
      </c>
      <c r="BK52" s="253">
        <v>45190</v>
      </c>
      <c r="BL52" s="210" t="s">
        <v>105</v>
      </c>
      <c r="BM52" s="266" t="s">
        <v>105</v>
      </c>
      <c r="BN52" s="210"/>
      <c r="BO52" s="210"/>
      <c r="BP52" s="210"/>
      <c r="BQ52" s="210"/>
      <c r="BR52" s="210"/>
      <c r="BS52" s="210"/>
      <c r="BT52" s="210"/>
      <c r="BU52" s="210"/>
      <c r="BV52" s="210"/>
      <c r="BW52" s="210"/>
      <c r="BX52" s="210"/>
      <c r="BY52" s="210"/>
      <c r="BZ52" s="212"/>
      <c r="DP52" s="212"/>
    </row>
    <row r="53" spans="1:120" s="211" customFormat="1" ht="35.25" hidden="1" customHeight="1" x14ac:dyDescent="0.25">
      <c r="A53" s="210">
        <v>40</v>
      </c>
      <c r="B53" s="210" t="s">
        <v>99</v>
      </c>
      <c r="C53" s="220">
        <v>1</v>
      </c>
      <c r="D53" s="210">
        <v>0</v>
      </c>
      <c r="E53" s="210">
        <v>0</v>
      </c>
      <c r="F53" s="270" t="s">
        <v>333</v>
      </c>
      <c r="G53" s="220" t="s">
        <v>1</v>
      </c>
      <c r="H53" s="220" t="s">
        <v>2</v>
      </c>
      <c r="I53" s="210" t="s">
        <v>12</v>
      </c>
      <c r="J53" s="219" t="s">
        <v>334</v>
      </c>
      <c r="K53" s="219" t="s">
        <v>335</v>
      </c>
      <c r="L53" s="219" t="s">
        <v>336</v>
      </c>
      <c r="M53" s="228" t="s">
        <v>4</v>
      </c>
      <c r="N53" s="220" t="s">
        <v>14</v>
      </c>
      <c r="O53" s="229">
        <v>45170</v>
      </c>
      <c r="P53" s="213" t="s">
        <v>24</v>
      </c>
      <c r="Q53" s="213" t="s">
        <v>24</v>
      </c>
      <c r="R53" s="213" t="s">
        <v>24</v>
      </c>
      <c r="S53" s="213" t="s">
        <v>24</v>
      </c>
      <c r="T53" s="213" t="s">
        <v>24</v>
      </c>
      <c r="U53" s="213" t="s">
        <v>24</v>
      </c>
      <c r="V53" s="213" t="s">
        <v>24</v>
      </c>
      <c r="W53" s="213" t="s">
        <v>24</v>
      </c>
      <c r="X53" s="213" t="s">
        <v>24</v>
      </c>
      <c r="Y53" s="213" t="s">
        <v>24</v>
      </c>
      <c r="Z53" s="213" t="s">
        <v>24</v>
      </c>
      <c r="AA53" s="225" t="s">
        <v>337</v>
      </c>
      <c r="AB53" s="219" t="s">
        <v>334</v>
      </c>
      <c r="AC53" s="219" t="s">
        <v>335</v>
      </c>
      <c r="AD53" s="219" t="s">
        <v>336</v>
      </c>
      <c r="AE53" s="220" t="s">
        <v>12</v>
      </c>
      <c r="AF53" s="210" t="s">
        <v>4</v>
      </c>
      <c r="AG53" s="291">
        <v>0</v>
      </c>
      <c r="AH53" s="291">
        <v>0</v>
      </c>
      <c r="AI53" s="213" t="s">
        <v>24</v>
      </c>
      <c r="AJ53" s="230" t="s">
        <v>104</v>
      </c>
      <c r="AK53" s="210" t="s">
        <v>105</v>
      </c>
      <c r="AL53" s="210" t="s">
        <v>24</v>
      </c>
      <c r="AM53" s="210" t="s">
        <v>24</v>
      </c>
      <c r="AN53" s="210" t="s">
        <v>24</v>
      </c>
      <c r="AO53" s="225" t="s">
        <v>337</v>
      </c>
      <c r="AP53" s="219" t="s">
        <v>24</v>
      </c>
      <c r="AQ53" s="210" t="s">
        <v>24</v>
      </c>
      <c r="AR53" s="210" t="s">
        <v>24</v>
      </c>
      <c r="AS53" s="210" t="s">
        <v>24</v>
      </c>
      <c r="AT53" s="210" t="s">
        <v>24</v>
      </c>
      <c r="AU53" s="210" t="s">
        <v>24</v>
      </c>
      <c r="AV53" s="210" t="s">
        <v>24</v>
      </c>
      <c r="AW53" s="210" t="s">
        <v>24</v>
      </c>
      <c r="AX53" s="213"/>
      <c r="AY53" s="213"/>
      <c r="AZ53" s="213"/>
      <c r="BA53" s="210"/>
      <c r="BB53" s="217"/>
      <c r="BC53" s="218" t="str">
        <f t="shared" si="6"/>
        <v/>
      </c>
      <c r="BD53" s="210" t="str">
        <f t="shared" si="5"/>
        <v>INDENIZAÇÃO</v>
      </c>
      <c r="BE53" s="210" t="str">
        <f t="shared" si="1"/>
        <v>NÃO</v>
      </c>
      <c r="BF53" s="210"/>
      <c r="BG53" s="210"/>
      <c r="BH53" s="210"/>
      <c r="BI53" s="210"/>
      <c r="BJ53" s="210"/>
      <c r="BK53" s="253"/>
      <c r="BL53" s="210"/>
      <c r="BM53" s="241"/>
      <c r="BN53" s="210"/>
      <c r="BO53" s="210"/>
      <c r="BP53" s="210"/>
      <c r="BQ53" s="210"/>
      <c r="BR53" s="210"/>
      <c r="BS53" s="210"/>
      <c r="BT53" s="210"/>
      <c r="BU53" s="210"/>
      <c r="BV53" s="210"/>
      <c r="BW53" s="210"/>
      <c r="BX53" s="210"/>
      <c r="BY53" s="210"/>
      <c r="BZ53" s="212"/>
      <c r="DP53" s="212"/>
    </row>
    <row r="54" spans="1:120" s="211" customFormat="1" ht="35.25" customHeight="1" x14ac:dyDescent="0.25">
      <c r="A54" s="210">
        <v>41</v>
      </c>
      <c r="B54" s="210" t="s">
        <v>99</v>
      </c>
      <c r="C54" s="220">
        <v>1</v>
      </c>
      <c r="D54" s="210">
        <v>0</v>
      </c>
      <c r="E54" s="210">
        <v>0</v>
      </c>
      <c r="F54" s="270" t="s">
        <v>338</v>
      </c>
      <c r="G54" s="220" t="s">
        <v>1</v>
      </c>
      <c r="H54" s="220" t="s">
        <v>2</v>
      </c>
      <c r="I54" s="220" t="s">
        <v>121</v>
      </c>
      <c r="J54" s="270" t="s">
        <v>339</v>
      </c>
      <c r="K54" s="270" t="s">
        <v>340</v>
      </c>
      <c r="L54" s="270" t="s">
        <v>341</v>
      </c>
      <c r="M54" s="220" t="s">
        <v>4</v>
      </c>
      <c r="N54" s="220" t="s">
        <v>14</v>
      </c>
      <c r="O54" s="213">
        <v>44900</v>
      </c>
      <c r="P54" s="213">
        <v>45081</v>
      </c>
      <c r="Q54" s="213" t="s">
        <v>114</v>
      </c>
      <c r="R54" s="213" t="s">
        <v>105</v>
      </c>
      <c r="S54" s="213" t="s">
        <v>105</v>
      </c>
      <c r="T54" s="229" t="s">
        <v>105</v>
      </c>
      <c r="U54" s="213" t="s">
        <v>267</v>
      </c>
      <c r="V54" s="213" t="s">
        <v>105</v>
      </c>
      <c r="W54" s="229" t="s">
        <v>268</v>
      </c>
      <c r="X54" s="229" t="s">
        <v>269</v>
      </c>
      <c r="Y54" s="229" t="s">
        <v>269</v>
      </c>
      <c r="Z54" s="213">
        <v>45128</v>
      </c>
      <c r="AA54" s="210"/>
      <c r="AB54" s="270" t="s">
        <v>342</v>
      </c>
      <c r="AC54" s="270" t="s">
        <v>343</v>
      </c>
      <c r="AD54" s="270" t="s">
        <v>344</v>
      </c>
      <c r="AE54" s="220" t="s">
        <v>3</v>
      </c>
      <c r="AF54" s="210" t="s">
        <v>4</v>
      </c>
      <c r="AG54" s="291">
        <v>38700</v>
      </c>
      <c r="AH54" s="291">
        <v>60000</v>
      </c>
      <c r="AI54" s="214" t="s">
        <v>6</v>
      </c>
      <c r="AJ54" s="230" t="s">
        <v>104</v>
      </c>
      <c r="AK54" s="210" t="s">
        <v>105</v>
      </c>
      <c r="AL54" s="210" t="s">
        <v>105</v>
      </c>
      <c r="AM54" s="210" t="s">
        <v>105</v>
      </c>
      <c r="AN54" s="210" t="s">
        <v>106</v>
      </c>
      <c r="AO54" s="219"/>
      <c r="AP54" s="219" t="s">
        <v>345</v>
      </c>
      <c r="AQ54" s="210" t="s">
        <v>105</v>
      </c>
      <c r="AR54" s="210" t="s">
        <v>105</v>
      </c>
      <c r="AS54" s="210" t="s">
        <v>105</v>
      </c>
      <c r="AT54" s="210" t="s">
        <v>105</v>
      </c>
      <c r="AU54" s="213">
        <v>44966</v>
      </c>
      <c r="AV54" s="210" t="s">
        <v>105</v>
      </c>
      <c r="AW54" s="210" t="s">
        <v>105</v>
      </c>
      <c r="AX54" s="213">
        <v>45012</v>
      </c>
      <c r="AY54" s="213">
        <v>45012</v>
      </c>
      <c r="AZ54" s="213">
        <v>45128</v>
      </c>
      <c r="BA54" s="210" t="s">
        <v>30</v>
      </c>
      <c r="BB54" s="217" t="s">
        <v>105</v>
      </c>
      <c r="BC54" s="218">
        <f t="shared" si="6"/>
        <v>112</v>
      </c>
      <c r="BD54" s="210" t="str">
        <f t="shared" si="5"/>
        <v>INDENIZAÇÃO</v>
      </c>
      <c r="BE54" s="210" t="str">
        <f t="shared" si="1"/>
        <v>NÃO</v>
      </c>
      <c r="BF54" s="210" t="s">
        <v>24</v>
      </c>
      <c r="BG54" s="210" t="s">
        <v>24</v>
      </c>
      <c r="BH54" s="210" t="s">
        <v>24</v>
      </c>
      <c r="BI54" s="210" t="s">
        <v>105</v>
      </c>
      <c r="BJ54" s="210" t="s">
        <v>105</v>
      </c>
      <c r="BK54" s="253">
        <v>45310</v>
      </c>
      <c r="BL54" s="254" t="s">
        <v>105</v>
      </c>
      <c r="BM54" s="266" t="s">
        <v>105</v>
      </c>
      <c r="BN54" s="210"/>
      <c r="BO54" s="210"/>
      <c r="BP54" s="210"/>
      <c r="BQ54" s="210"/>
      <c r="BR54" s="210"/>
      <c r="BS54" s="210"/>
      <c r="BT54" s="210"/>
      <c r="BU54" s="210"/>
      <c r="BV54" s="210"/>
      <c r="BW54" s="210"/>
      <c r="BX54" s="210"/>
      <c r="BY54" s="210"/>
      <c r="BZ54" s="212"/>
      <c r="DP54" s="212"/>
    </row>
    <row r="55" spans="1:120" s="211" customFormat="1" ht="35.25" customHeight="1" x14ac:dyDescent="0.25">
      <c r="A55" s="210">
        <v>42</v>
      </c>
      <c r="B55" s="210" t="s">
        <v>99</v>
      </c>
      <c r="C55" s="210">
        <v>1</v>
      </c>
      <c r="D55" s="210">
        <v>0</v>
      </c>
      <c r="E55" s="210">
        <v>0</v>
      </c>
      <c r="F55" s="219" t="s">
        <v>346</v>
      </c>
      <c r="G55" s="210" t="s">
        <v>10</v>
      </c>
      <c r="H55" s="210" t="s">
        <v>2</v>
      </c>
      <c r="I55" s="210" t="s">
        <v>139</v>
      </c>
      <c r="J55" s="219" t="s">
        <v>139</v>
      </c>
      <c r="K55" s="219" t="s">
        <v>139</v>
      </c>
      <c r="L55" s="219" t="s">
        <v>139</v>
      </c>
      <c r="M55" s="220" t="s">
        <v>4</v>
      </c>
      <c r="N55" s="220" t="s">
        <v>5</v>
      </c>
      <c r="O55" s="213">
        <v>44900</v>
      </c>
      <c r="P55" s="213" t="s">
        <v>24</v>
      </c>
      <c r="Q55" s="213" t="s">
        <v>24</v>
      </c>
      <c r="R55" s="213" t="s">
        <v>24</v>
      </c>
      <c r="S55" s="213" t="s">
        <v>24</v>
      </c>
      <c r="T55" s="213" t="s">
        <v>24</v>
      </c>
      <c r="U55" s="213" t="s">
        <v>24</v>
      </c>
      <c r="V55" s="213" t="s">
        <v>24</v>
      </c>
      <c r="W55" s="213" t="s">
        <v>24</v>
      </c>
      <c r="X55" s="213" t="s">
        <v>24</v>
      </c>
      <c r="Y55" s="213" t="s">
        <v>24</v>
      </c>
      <c r="Z55" s="213" t="s">
        <v>24</v>
      </c>
      <c r="AA55" s="210"/>
      <c r="AB55" s="219" t="s">
        <v>347</v>
      </c>
      <c r="AC55" s="219" t="s">
        <v>348</v>
      </c>
      <c r="AD55" s="219" t="s">
        <v>349</v>
      </c>
      <c r="AE55" s="220" t="s">
        <v>3</v>
      </c>
      <c r="AF55" s="210" t="s">
        <v>4</v>
      </c>
      <c r="AG55" s="230">
        <v>21400</v>
      </c>
      <c r="AH55" s="230">
        <v>51400</v>
      </c>
      <c r="AI55" s="214" t="s">
        <v>6</v>
      </c>
      <c r="AJ55" s="230" t="s">
        <v>104</v>
      </c>
      <c r="AK55" s="210" t="s">
        <v>105</v>
      </c>
      <c r="AL55" s="210" t="s">
        <v>105</v>
      </c>
      <c r="AM55" s="210" t="s">
        <v>105</v>
      </c>
      <c r="AN55" s="210" t="s">
        <v>106</v>
      </c>
      <c r="AO55" s="210"/>
      <c r="AP55" s="219" t="s">
        <v>350</v>
      </c>
      <c r="AQ55" s="210" t="s">
        <v>105</v>
      </c>
      <c r="AR55" s="210" t="s">
        <v>105</v>
      </c>
      <c r="AS55" s="210" t="s">
        <v>105</v>
      </c>
      <c r="AT55" s="210" t="s">
        <v>105</v>
      </c>
      <c r="AU55" s="213">
        <v>44966</v>
      </c>
      <c r="AV55" s="210" t="s">
        <v>105</v>
      </c>
      <c r="AW55" s="210" t="s">
        <v>105</v>
      </c>
      <c r="AX55" s="213">
        <v>45012</v>
      </c>
      <c r="AY55" s="213">
        <v>45012</v>
      </c>
      <c r="AZ55" s="213">
        <v>45128</v>
      </c>
      <c r="BA55" s="210" t="s">
        <v>30</v>
      </c>
      <c r="BB55" s="217" t="s">
        <v>105</v>
      </c>
      <c r="BC55" s="218">
        <f t="shared" si="6"/>
        <v>112</v>
      </c>
      <c r="BD55" s="210" t="str">
        <f t="shared" si="5"/>
        <v>INDENIZAÇÃO</v>
      </c>
      <c r="BE55" s="210" t="str">
        <f t="shared" si="1"/>
        <v>NÃO</v>
      </c>
      <c r="BF55" s="210" t="s">
        <v>24</v>
      </c>
      <c r="BG55" s="210" t="s">
        <v>24</v>
      </c>
      <c r="BH55" s="210" t="s">
        <v>24</v>
      </c>
      <c r="BI55" s="210" t="s">
        <v>105</v>
      </c>
      <c r="BJ55" s="210" t="s">
        <v>105</v>
      </c>
      <c r="BK55" s="253">
        <v>45190</v>
      </c>
      <c r="BL55" s="210" t="s">
        <v>105</v>
      </c>
      <c r="BM55" s="266" t="s">
        <v>105</v>
      </c>
      <c r="BN55" s="210"/>
      <c r="BO55" s="210"/>
      <c r="BP55" s="210"/>
      <c r="BQ55" s="210"/>
      <c r="BR55" s="210"/>
      <c r="BS55" s="210"/>
      <c r="BT55" s="210"/>
      <c r="BU55" s="210"/>
      <c r="BV55" s="210"/>
      <c r="BW55" s="210"/>
      <c r="BX55" s="210"/>
      <c r="BY55" s="210"/>
      <c r="BZ55" s="212"/>
      <c r="DP55" s="212"/>
    </row>
    <row r="56" spans="1:120" s="211" customFormat="1" ht="35.25" customHeight="1" x14ac:dyDescent="0.25">
      <c r="A56" s="210">
        <v>43</v>
      </c>
      <c r="B56" s="210" t="s">
        <v>99</v>
      </c>
      <c r="C56" s="220">
        <v>1</v>
      </c>
      <c r="D56" s="210">
        <v>0</v>
      </c>
      <c r="E56" s="210">
        <v>0</v>
      </c>
      <c r="F56" s="270" t="s">
        <v>351</v>
      </c>
      <c r="G56" s="220" t="s">
        <v>1</v>
      </c>
      <c r="H56" s="220" t="s">
        <v>2</v>
      </c>
      <c r="I56" s="220" t="s">
        <v>121</v>
      </c>
      <c r="J56" s="270" t="s">
        <v>352</v>
      </c>
      <c r="K56" s="270" t="s">
        <v>353</v>
      </c>
      <c r="L56" s="270" t="s">
        <v>354</v>
      </c>
      <c r="M56" s="220" t="s">
        <v>4</v>
      </c>
      <c r="N56" s="220" t="s">
        <v>14</v>
      </c>
      <c r="O56" s="213">
        <v>44900</v>
      </c>
      <c r="P56" s="213">
        <v>44921</v>
      </c>
      <c r="Q56" s="213" t="s">
        <v>114</v>
      </c>
      <c r="R56" s="213" t="s">
        <v>105</v>
      </c>
      <c r="S56" s="213" t="s">
        <v>105</v>
      </c>
      <c r="T56" s="213" t="s">
        <v>105</v>
      </c>
      <c r="U56" s="213">
        <v>44992</v>
      </c>
      <c r="V56" s="213" t="s">
        <v>105</v>
      </c>
      <c r="W56" s="213">
        <v>44992</v>
      </c>
      <c r="X56" s="213">
        <v>45019</v>
      </c>
      <c r="Y56" s="213">
        <v>45019</v>
      </c>
      <c r="Z56" s="213">
        <v>45127</v>
      </c>
      <c r="AA56" s="210" t="s">
        <v>115</v>
      </c>
      <c r="AB56" s="271" t="s">
        <v>355</v>
      </c>
      <c r="AC56" s="271" t="s">
        <v>356</v>
      </c>
      <c r="AD56" s="271" t="s">
        <v>357</v>
      </c>
      <c r="AE56" s="220" t="s">
        <v>3</v>
      </c>
      <c r="AF56" s="210" t="s">
        <v>4</v>
      </c>
      <c r="AG56" s="291">
        <v>26300</v>
      </c>
      <c r="AH56" s="291">
        <v>56300</v>
      </c>
      <c r="AI56" s="214" t="s">
        <v>6</v>
      </c>
      <c r="AJ56" s="230" t="s">
        <v>104</v>
      </c>
      <c r="AK56" s="210" t="s">
        <v>105</v>
      </c>
      <c r="AL56" s="210" t="s">
        <v>105</v>
      </c>
      <c r="AM56" s="210" t="s">
        <v>105</v>
      </c>
      <c r="AN56" s="210" t="s">
        <v>106</v>
      </c>
      <c r="AO56" s="210"/>
      <c r="AP56" s="215" t="s">
        <v>358</v>
      </c>
      <c r="AQ56" s="228" t="s">
        <v>105</v>
      </c>
      <c r="AR56" s="228" t="s">
        <v>105</v>
      </c>
      <c r="AS56" s="210" t="s">
        <v>105</v>
      </c>
      <c r="AT56" s="210" t="s">
        <v>105</v>
      </c>
      <c r="AU56" s="213">
        <v>45078</v>
      </c>
      <c r="AV56" s="210" t="s">
        <v>105</v>
      </c>
      <c r="AW56" s="210" t="s">
        <v>105</v>
      </c>
      <c r="AX56" s="213">
        <v>45167</v>
      </c>
      <c r="AY56" s="213">
        <v>45167</v>
      </c>
      <c r="AZ56" s="213">
        <v>45127</v>
      </c>
      <c r="BA56" s="210" t="s">
        <v>30</v>
      </c>
      <c r="BB56" s="217" t="s">
        <v>105</v>
      </c>
      <c r="BC56" s="218">
        <f t="shared" si="6"/>
        <v>267</v>
      </c>
      <c r="BD56" s="210" t="str">
        <f t="shared" si="5"/>
        <v>INDENIZAÇÃO</v>
      </c>
      <c r="BE56" s="210" t="str">
        <f t="shared" si="1"/>
        <v>NÃO</v>
      </c>
      <c r="BF56" s="210" t="s">
        <v>24</v>
      </c>
      <c r="BG56" s="210" t="s">
        <v>24</v>
      </c>
      <c r="BH56" s="210" t="s">
        <v>24</v>
      </c>
      <c r="BI56" s="210" t="s">
        <v>105</v>
      </c>
      <c r="BJ56" s="210" t="s">
        <v>105</v>
      </c>
      <c r="BK56" s="253">
        <v>45310</v>
      </c>
      <c r="BL56" s="254" t="s">
        <v>105</v>
      </c>
      <c r="BM56" s="266" t="s">
        <v>105</v>
      </c>
      <c r="BN56" s="210"/>
      <c r="BO56" s="210"/>
      <c r="BP56" s="210"/>
      <c r="BQ56" s="210"/>
      <c r="BR56" s="210"/>
      <c r="BS56" s="210"/>
      <c r="BT56" s="210"/>
      <c r="BU56" s="210"/>
      <c r="BV56" s="210"/>
      <c r="BW56" s="210"/>
      <c r="BX56" s="210"/>
      <c r="BY56" s="210"/>
      <c r="BZ56" s="212"/>
      <c r="DP56" s="212"/>
    </row>
    <row r="57" spans="1:120" s="211" customFormat="1" ht="35.25" hidden="1" customHeight="1" x14ac:dyDescent="0.25">
      <c r="A57" s="210">
        <v>44</v>
      </c>
      <c r="B57" s="210" t="s">
        <v>99</v>
      </c>
      <c r="C57" s="210">
        <v>1</v>
      </c>
      <c r="D57" s="210">
        <v>0</v>
      </c>
      <c r="E57" s="210">
        <v>0</v>
      </c>
      <c r="F57" s="219" t="s">
        <v>359</v>
      </c>
      <c r="G57" s="210" t="s">
        <v>1</v>
      </c>
      <c r="H57" s="210" t="s">
        <v>2</v>
      </c>
      <c r="I57" s="210" t="s">
        <v>360</v>
      </c>
      <c r="J57" s="219" t="s">
        <v>139</v>
      </c>
      <c r="K57" s="219" t="s">
        <v>139</v>
      </c>
      <c r="L57" s="219" t="s">
        <v>139</v>
      </c>
      <c r="M57" s="220" t="s">
        <v>17</v>
      </c>
      <c r="N57" s="220" t="s">
        <v>17</v>
      </c>
      <c r="O57" s="213">
        <v>44900</v>
      </c>
      <c r="P57" s="213" t="s">
        <v>139</v>
      </c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0"/>
      <c r="AB57" s="219" t="s">
        <v>139</v>
      </c>
      <c r="AC57" s="219" t="s">
        <v>139</v>
      </c>
      <c r="AD57" s="219" t="s">
        <v>139</v>
      </c>
      <c r="AE57" s="210"/>
      <c r="AF57" s="210" t="s">
        <v>139</v>
      </c>
      <c r="AG57" s="230" t="s">
        <v>139</v>
      </c>
      <c r="AH57" s="230" t="s">
        <v>139</v>
      </c>
      <c r="AI57" s="214"/>
      <c r="AJ57" s="230" t="s">
        <v>104</v>
      </c>
      <c r="AK57" s="210"/>
      <c r="AL57" s="210"/>
      <c r="AM57" s="210"/>
      <c r="AN57" s="210"/>
      <c r="AO57" s="210"/>
      <c r="AP57" s="219"/>
      <c r="AQ57" s="210"/>
      <c r="AR57" s="210"/>
      <c r="AS57" s="210"/>
      <c r="AT57" s="210"/>
      <c r="AU57" s="210"/>
      <c r="AV57" s="210"/>
      <c r="AW57" s="210"/>
      <c r="AX57" s="213"/>
      <c r="AY57" s="224"/>
      <c r="AZ57" s="213"/>
      <c r="BA57" s="210"/>
      <c r="BB57" s="217"/>
      <c r="BC57" s="218" t="str">
        <f t="shared" si="6"/>
        <v/>
      </c>
      <c r="BD57" s="210" t="str">
        <f t="shared" si="5"/>
        <v>INDENIZAÇÃO</v>
      </c>
      <c r="BE57" s="210" t="str">
        <f t="shared" si="1"/>
        <v>NÃO</v>
      </c>
      <c r="BF57" s="210"/>
      <c r="BG57" s="210"/>
      <c r="BH57" s="210"/>
      <c r="BI57" s="210"/>
      <c r="BJ57" s="210"/>
      <c r="BK57" s="210"/>
      <c r="BL57" s="210"/>
      <c r="BM57" s="210"/>
      <c r="BN57" s="210"/>
      <c r="BO57" s="210"/>
      <c r="BP57" s="210"/>
      <c r="BQ57" s="210"/>
      <c r="BR57" s="210"/>
      <c r="BS57" s="210"/>
      <c r="BT57" s="210"/>
      <c r="BU57" s="210"/>
      <c r="BV57" s="210"/>
      <c r="BW57" s="210"/>
      <c r="BX57" s="210"/>
      <c r="BY57" s="210"/>
      <c r="BZ57" s="212"/>
      <c r="DP57" s="212"/>
    </row>
    <row r="58" spans="1:120" s="211" customFormat="1" ht="35.25" hidden="1" customHeight="1" x14ac:dyDescent="0.25">
      <c r="A58" s="210">
        <v>45</v>
      </c>
      <c r="B58" s="210" t="s">
        <v>99</v>
      </c>
      <c r="C58" s="220">
        <v>1</v>
      </c>
      <c r="D58" s="210">
        <v>0</v>
      </c>
      <c r="E58" s="210">
        <v>0</v>
      </c>
      <c r="F58" s="270" t="s">
        <v>361</v>
      </c>
      <c r="G58" s="220" t="s">
        <v>1</v>
      </c>
      <c r="H58" s="220" t="s">
        <v>2</v>
      </c>
      <c r="I58" s="210" t="s">
        <v>12</v>
      </c>
      <c r="J58" s="270" t="s">
        <v>362</v>
      </c>
      <c r="K58" s="270" t="s">
        <v>363</v>
      </c>
      <c r="L58" s="270" t="s">
        <v>364</v>
      </c>
      <c r="M58" s="220" t="s">
        <v>4</v>
      </c>
      <c r="N58" s="220" t="s">
        <v>14</v>
      </c>
      <c r="O58" s="213">
        <v>44900</v>
      </c>
      <c r="P58" s="213">
        <v>44921</v>
      </c>
      <c r="Q58" s="213" t="s">
        <v>114</v>
      </c>
      <c r="R58" s="213" t="s">
        <v>105</v>
      </c>
      <c r="S58" s="213" t="s">
        <v>105</v>
      </c>
      <c r="T58" s="213" t="s">
        <v>105</v>
      </c>
      <c r="U58" s="213">
        <v>44992</v>
      </c>
      <c r="V58" s="213" t="s">
        <v>105</v>
      </c>
      <c r="W58" s="213">
        <v>44992</v>
      </c>
      <c r="X58" s="213">
        <v>45019</v>
      </c>
      <c r="Y58" s="213">
        <v>45019</v>
      </c>
      <c r="Z58" s="213">
        <v>45064</v>
      </c>
      <c r="AA58" s="210" t="s">
        <v>115</v>
      </c>
      <c r="AB58" s="270" t="s">
        <v>362</v>
      </c>
      <c r="AC58" s="270" t="s">
        <v>363</v>
      </c>
      <c r="AD58" s="270" t="s">
        <v>364</v>
      </c>
      <c r="AE58" s="220" t="s">
        <v>12</v>
      </c>
      <c r="AF58" s="210" t="s">
        <v>4</v>
      </c>
      <c r="AG58" s="291">
        <v>35700</v>
      </c>
      <c r="AH58" s="291">
        <v>60000</v>
      </c>
      <c r="AI58" s="214" t="s">
        <v>23</v>
      </c>
      <c r="AJ58" s="230" t="s">
        <v>104</v>
      </c>
      <c r="AK58" s="210" t="s">
        <v>105</v>
      </c>
      <c r="AL58" s="210" t="s">
        <v>24</v>
      </c>
      <c r="AM58" s="210" t="s">
        <v>24</v>
      </c>
      <c r="AN58" s="210" t="s">
        <v>24</v>
      </c>
      <c r="AO58" s="210"/>
      <c r="AP58" s="219" t="s">
        <v>24</v>
      </c>
      <c r="AQ58" s="210" t="s">
        <v>24</v>
      </c>
      <c r="AR58" s="210" t="s">
        <v>24</v>
      </c>
      <c r="AS58" s="210" t="s">
        <v>24</v>
      </c>
      <c r="AT58" s="210" t="s">
        <v>24</v>
      </c>
      <c r="AU58" s="210" t="s">
        <v>24</v>
      </c>
      <c r="AV58" s="210" t="s">
        <v>24</v>
      </c>
      <c r="AW58" s="210" t="s">
        <v>24</v>
      </c>
      <c r="AX58" s="213">
        <v>45019</v>
      </c>
      <c r="AY58" s="213">
        <v>45019</v>
      </c>
      <c r="AZ58" s="213">
        <v>45064</v>
      </c>
      <c r="BA58" s="210" t="s">
        <v>30</v>
      </c>
      <c r="BB58" s="217" t="s">
        <v>105</v>
      </c>
      <c r="BC58" s="218">
        <f t="shared" si="6"/>
        <v>119</v>
      </c>
      <c r="BD58" s="210" t="str">
        <f t="shared" si="5"/>
        <v>AA</v>
      </c>
      <c r="BE58" s="210" t="str">
        <f t="shared" si="1"/>
        <v>NÃO</v>
      </c>
      <c r="BF58" s="210" t="s">
        <v>24</v>
      </c>
      <c r="BG58" s="210" t="s">
        <v>24</v>
      </c>
      <c r="BH58" s="210" t="s">
        <v>24</v>
      </c>
      <c r="BI58" s="210" t="s">
        <v>24</v>
      </c>
      <c r="BJ58" s="210" t="s">
        <v>24</v>
      </c>
      <c r="BK58" s="210" t="s">
        <v>24</v>
      </c>
      <c r="BL58" s="210" t="s">
        <v>24</v>
      </c>
      <c r="BM58" s="265" t="s">
        <v>105</v>
      </c>
      <c r="BN58" s="210"/>
      <c r="BO58" s="210"/>
      <c r="BP58" s="210"/>
      <c r="BQ58" s="210"/>
      <c r="BR58" s="210"/>
      <c r="BS58" s="210"/>
      <c r="BT58" s="210"/>
      <c r="BU58" s="210"/>
      <c r="BV58" s="210"/>
      <c r="BW58" s="210"/>
      <c r="BX58" s="210"/>
      <c r="BY58" s="210"/>
      <c r="BZ58" s="212"/>
      <c r="DP58" s="212"/>
    </row>
    <row r="59" spans="1:120" s="211" customFormat="1" ht="35.25" customHeight="1" x14ac:dyDescent="0.25">
      <c r="A59" s="210">
        <v>46</v>
      </c>
      <c r="B59" s="210" t="s">
        <v>99</v>
      </c>
      <c r="C59" s="210">
        <v>1</v>
      </c>
      <c r="D59" s="210">
        <v>0</v>
      </c>
      <c r="E59" s="210">
        <v>0</v>
      </c>
      <c r="F59" s="270" t="s">
        <v>365</v>
      </c>
      <c r="G59" s="220" t="s">
        <v>1</v>
      </c>
      <c r="H59" s="220" t="s">
        <v>366</v>
      </c>
      <c r="I59" s="220" t="s">
        <v>3</v>
      </c>
      <c r="J59" s="270" t="s">
        <v>367</v>
      </c>
      <c r="K59" s="270" t="s">
        <v>368</v>
      </c>
      <c r="L59" s="270" t="s">
        <v>369</v>
      </c>
      <c r="M59" s="220" t="s">
        <v>4</v>
      </c>
      <c r="N59" s="220" t="s">
        <v>312</v>
      </c>
      <c r="O59" s="213">
        <v>44900</v>
      </c>
      <c r="P59" s="213" t="s">
        <v>24</v>
      </c>
      <c r="Q59" s="213" t="s">
        <v>24</v>
      </c>
      <c r="R59" s="213" t="s">
        <v>24</v>
      </c>
      <c r="S59" s="213" t="s">
        <v>24</v>
      </c>
      <c r="T59" s="213" t="s">
        <v>24</v>
      </c>
      <c r="U59" s="213" t="s">
        <v>24</v>
      </c>
      <c r="V59" s="213" t="s">
        <v>24</v>
      </c>
      <c r="W59" s="213" t="s">
        <v>24</v>
      </c>
      <c r="X59" s="213" t="s">
        <v>24</v>
      </c>
      <c r="Y59" s="213" t="s">
        <v>24</v>
      </c>
      <c r="Z59" s="213" t="s">
        <v>24</v>
      </c>
      <c r="AA59" s="210"/>
      <c r="AB59" s="270" t="s">
        <v>367</v>
      </c>
      <c r="AC59" s="270" t="s">
        <v>368</v>
      </c>
      <c r="AD59" s="270" t="s">
        <v>369</v>
      </c>
      <c r="AE59" s="220" t="s">
        <v>3</v>
      </c>
      <c r="AF59" s="210" t="s">
        <v>4</v>
      </c>
      <c r="AG59" s="291">
        <v>17700</v>
      </c>
      <c r="AH59" s="291">
        <v>47700</v>
      </c>
      <c r="AI59" s="214" t="s">
        <v>6</v>
      </c>
      <c r="AJ59" s="230" t="s">
        <v>104</v>
      </c>
      <c r="AK59" s="210" t="s">
        <v>105</v>
      </c>
      <c r="AL59" s="210" t="s">
        <v>105</v>
      </c>
      <c r="AM59" s="210" t="s">
        <v>105</v>
      </c>
      <c r="AN59" s="210" t="s">
        <v>106</v>
      </c>
      <c r="AO59" s="285"/>
      <c r="AP59" s="219" t="s">
        <v>370</v>
      </c>
      <c r="AQ59" s="210" t="s">
        <v>105</v>
      </c>
      <c r="AR59" s="210" t="s">
        <v>105</v>
      </c>
      <c r="AS59" s="210" t="s">
        <v>105</v>
      </c>
      <c r="AT59" s="210" t="s">
        <v>105</v>
      </c>
      <c r="AU59" s="213">
        <v>45014</v>
      </c>
      <c r="AV59" s="210" t="s">
        <v>105</v>
      </c>
      <c r="AW59" s="210" t="s">
        <v>105</v>
      </c>
      <c r="AX59" s="213">
        <v>45022</v>
      </c>
      <c r="AY59" s="213">
        <v>45022</v>
      </c>
      <c r="AZ59" s="213">
        <v>45127</v>
      </c>
      <c r="BA59" s="210" t="s">
        <v>30</v>
      </c>
      <c r="BB59" s="217" t="s">
        <v>105</v>
      </c>
      <c r="BC59" s="218">
        <f t="shared" si="6"/>
        <v>122</v>
      </c>
      <c r="BD59" s="210" t="str">
        <f t="shared" si="5"/>
        <v>INDENIZAÇÃO</v>
      </c>
      <c r="BE59" s="210" t="str">
        <f t="shared" si="1"/>
        <v>NÃO</v>
      </c>
      <c r="BF59" s="210" t="s">
        <v>24</v>
      </c>
      <c r="BG59" s="210" t="s">
        <v>24</v>
      </c>
      <c r="BH59" s="210" t="s">
        <v>24</v>
      </c>
      <c r="BI59" s="210" t="s">
        <v>105</v>
      </c>
      <c r="BJ59" s="210" t="s">
        <v>105</v>
      </c>
      <c r="BK59" s="253">
        <v>45190</v>
      </c>
      <c r="BL59" s="210" t="s">
        <v>105</v>
      </c>
      <c r="BM59" s="266" t="s">
        <v>105</v>
      </c>
      <c r="BN59" s="210"/>
      <c r="BO59" s="210"/>
      <c r="BP59" s="210"/>
      <c r="BQ59" s="210"/>
      <c r="BR59" s="210"/>
      <c r="BS59" s="210"/>
      <c r="BT59" s="210"/>
      <c r="BU59" s="210"/>
      <c r="BV59" s="210"/>
      <c r="BW59" s="210"/>
      <c r="BX59" s="210"/>
      <c r="BY59" s="210"/>
      <c r="BZ59" s="212"/>
      <c r="DP59" s="212"/>
    </row>
    <row r="60" spans="1:120" s="211" customFormat="1" ht="35.25" customHeight="1" x14ac:dyDescent="0.25">
      <c r="A60" s="210">
        <v>47</v>
      </c>
      <c r="B60" s="210" t="s">
        <v>99</v>
      </c>
      <c r="C60" s="220">
        <v>1</v>
      </c>
      <c r="D60" s="210">
        <v>0</v>
      </c>
      <c r="E60" s="210">
        <v>0</v>
      </c>
      <c r="F60" s="270" t="s">
        <v>371</v>
      </c>
      <c r="G60" s="220" t="s">
        <v>1</v>
      </c>
      <c r="H60" s="220" t="s">
        <v>2</v>
      </c>
      <c r="I60" s="210" t="s">
        <v>12</v>
      </c>
      <c r="J60" s="270" t="s">
        <v>372</v>
      </c>
      <c r="K60" s="270" t="s">
        <v>373</v>
      </c>
      <c r="L60" s="270" t="s">
        <v>374</v>
      </c>
      <c r="M60" s="220" t="s">
        <v>4</v>
      </c>
      <c r="N60" s="220" t="s">
        <v>5</v>
      </c>
      <c r="O60" s="213">
        <v>44900</v>
      </c>
      <c r="P60" s="213" t="s">
        <v>24</v>
      </c>
      <c r="Q60" s="213" t="s">
        <v>24</v>
      </c>
      <c r="R60" s="213" t="s">
        <v>24</v>
      </c>
      <c r="S60" s="213" t="s">
        <v>24</v>
      </c>
      <c r="T60" s="213" t="s">
        <v>24</v>
      </c>
      <c r="U60" s="213" t="s">
        <v>24</v>
      </c>
      <c r="V60" s="213" t="s">
        <v>24</v>
      </c>
      <c r="W60" s="213" t="s">
        <v>24</v>
      </c>
      <c r="X60" s="213" t="s">
        <v>24</v>
      </c>
      <c r="Y60" s="213" t="s">
        <v>24</v>
      </c>
      <c r="Z60" s="213" t="s">
        <v>24</v>
      </c>
      <c r="AA60" s="210"/>
      <c r="AB60" s="270" t="s">
        <v>372</v>
      </c>
      <c r="AC60" s="270" t="s">
        <v>373</v>
      </c>
      <c r="AD60" s="270" t="s">
        <v>374</v>
      </c>
      <c r="AE60" s="220" t="s">
        <v>12</v>
      </c>
      <c r="AF60" s="210" t="s">
        <v>4</v>
      </c>
      <c r="AG60" s="291">
        <v>27300</v>
      </c>
      <c r="AH60" s="291">
        <v>57300</v>
      </c>
      <c r="AI60" s="214" t="s">
        <v>6</v>
      </c>
      <c r="AJ60" s="230" t="s">
        <v>104</v>
      </c>
      <c r="AK60" s="210" t="s">
        <v>105</v>
      </c>
      <c r="AL60" s="210" t="s">
        <v>105</v>
      </c>
      <c r="AM60" s="210" t="s">
        <v>105</v>
      </c>
      <c r="AN60" s="210" t="s">
        <v>106</v>
      </c>
      <c r="AO60" s="210"/>
      <c r="AP60" s="219" t="s">
        <v>375</v>
      </c>
      <c r="AQ60" s="210" t="s">
        <v>105</v>
      </c>
      <c r="AR60" s="210" t="s">
        <v>105</v>
      </c>
      <c r="AS60" s="210" t="s">
        <v>105</v>
      </c>
      <c r="AT60" s="210" t="s">
        <v>105</v>
      </c>
      <c r="AU60" s="213">
        <v>44966</v>
      </c>
      <c r="AV60" s="210" t="s">
        <v>105</v>
      </c>
      <c r="AW60" s="210" t="s">
        <v>105</v>
      </c>
      <c r="AX60" s="213">
        <v>45020</v>
      </c>
      <c r="AY60" s="213">
        <v>45020</v>
      </c>
      <c r="AZ60" s="213">
        <v>45127</v>
      </c>
      <c r="BA60" s="210" t="s">
        <v>30</v>
      </c>
      <c r="BB60" s="217" t="s">
        <v>105</v>
      </c>
      <c r="BC60" s="218">
        <f t="shared" si="6"/>
        <v>120</v>
      </c>
      <c r="BD60" s="210" t="str">
        <f t="shared" si="5"/>
        <v>INDENIZAÇÃO</v>
      </c>
      <c r="BE60" s="210" t="str">
        <f t="shared" si="1"/>
        <v>NÃO</v>
      </c>
      <c r="BF60" s="210" t="s">
        <v>24</v>
      </c>
      <c r="BG60" s="210" t="s">
        <v>24</v>
      </c>
      <c r="BH60" s="210" t="s">
        <v>24</v>
      </c>
      <c r="BI60" s="210" t="s">
        <v>105</v>
      </c>
      <c r="BJ60" s="210" t="s">
        <v>105</v>
      </c>
      <c r="BK60" s="253">
        <v>45190</v>
      </c>
      <c r="BL60" s="210" t="s">
        <v>105</v>
      </c>
      <c r="BM60" s="266" t="s">
        <v>105</v>
      </c>
      <c r="BN60" s="210"/>
      <c r="BO60" s="210"/>
      <c r="BP60" s="210"/>
      <c r="BQ60" s="210"/>
      <c r="BR60" s="210"/>
      <c r="BS60" s="210"/>
      <c r="BT60" s="210"/>
      <c r="BU60" s="210"/>
      <c r="BV60" s="210"/>
      <c r="BW60" s="210"/>
      <c r="BX60" s="210"/>
      <c r="BY60" s="210"/>
      <c r="BZ60" s="212"/>
      <c r="DP60" s="212"/>
    </row>
    <row r="61" spans="1:120" s="211" customFormat="1" ht="35.25" hidden="1" customHeight="1" x14ac:dyDescent="0.25">
      <c r="A61" s="210">
        <v>48</v>
      </c>
      <c r="B61" s="210" t="s">
        <v>99</v>
      </c>
      <c r="C61" s="220">
        <v>1</v>
      </c>
      <c r="D61" s="210">
        <v>0</v>
      </c>
      <c r="E61" s="210">
        <v>0</v>
      </c>
      <c r="F61" s="270" t="s">
        <v>376</v>
      </c>
      <c r="G61" s="220" t="s">
        <v>1</v>
      </c>
      <c r="H61" s="220" t="s">
        <v>2</v>
      </c>
      <c r="I61" s="210" t="s">
        <v>12</v>
      </c>
      <c r="J61" s="270" t="s">
        <v>377</v>
      </c>
      <c r="K61" s="270" t="s">
        <v>378</v>
      </c>
      <c r="L61" s="270" t="s">
        <v>379</v>
      </c>
      <c r="M61" s="220" t="s">
        <v>4</v>
      </c>
      <c r="N61" s="220" t="s">
        <v>14</v>
      </c>
      <c r="O61" s="213">
        <v>44900</v>
      </c>
      <c r="P61" s="213">
        <v>44921</v>
      </c>
      <c r="Q61" s="213" t="s">
        <v>114</v>
      </c>
      <c r="R61" s="213" t="s">
        <v>105</v>
      </c>
      <c r="S61" s="213" t="s">
        <v>105</v>
      </c>
      <c r="T61" s="213" t="s">
        <v>105</v>
      </c>
      <c r="U61" s="213">
        <v>44992</v>
      </c>
      <c r="V61" s="213" t="s">
        <v>105</v>
      </c>
      <c r="W61" s="213">
        <v>44992</v>
      </c>
      <c r="X61" s="213">
        <v>45019</v>
      </c>
      <c r="Y61" s="213">
        <v>45021</v>
      </c>
      <c r="Z61" s="213">
        <v>45106</v>
      </c>
      <c r="AA61" s="210" t="s">
        <v>115</v>
      </c>
      <c r="AB61" s="270" t="s">
        <v>377</v>
      </c>
      <c r="AC61" s="270" t="s">
        <v>378</v>
      </c>
      <c r="AD61" s="270" t="s">
        <v>379</v>
      </c>
      <c r="AE61" s="220" t="s">
        <v>12</v>
      </c>
      <c r="AF61" s="210" t="s">
        <v>4</v>
      </c>
      <c r="AG61" s="291">
        <v>15800</v>
      </c>
      <c r="AH61" s="291">
        <v>45800</v>
      </c>
      <c r="AI61" s="214" t="s">
        <v>23</v>
      </c>
      <c r="AJ61" s="230" t="s">
        <v>104</v>
      </c>
      <c r="AK61" s="210" t="s">
        <v>105</v>
      </c>
      <c r="AL61" s="210" t="s">
        <v>24</v>
      </c>
      <c r="AM61" s="210" t="s">
        <v>24</v>
      </c>
      <c r="AN61" s="210" t="s">
        <v>24</v>
      </c>
      <c r="AO61" s="210"/>
      <c r="AP61" s="219" t="s">
        <v>24</v>
      </c>
      <c r="AQ61" s="210" t="s">
        <v>24</v>
      </c>
      <c r="AR61" s="210" t="s">
        <v>24</v>
      </c>
      <c r="AS61" s="210" t="s">
        <v>24</v>
      </c>
      <c r="AT61" s="210" t="s">
        <v>24</v>
      </c>
      <c r="AU61" s="210" t="s">
        <v>24</v>
      </c>
      <c r="AV61" s="210" t="s">
        <v>24</v>
      </c>
      <c r="AW61" s="210" t="s">
        <v>24</v>
      </c>
      <c r="AX61" s="213">
        <v>45019</v>
      </c>
      <c r="AY61" s="213">
        <v>45021</v>
      </c>
      <c r="AZ61" s="213">
        <v>45106</v>
      </c>
      <c r="BA61" s="210" t="s">
        <v>30</v>
      </c>
      <c r="BB61" s="217" t="s">
        <v>105</v>
      </c>
      <c r="BC61" s="218">
        <f t="shared" si="6"/>
        <v>121</v>
      </c>
      <c r="BD61" s="210" t="str">
        <f t="shared" si="5"/>
        <v>AA</v>
      </c>
      <c r="BE61" s="210" t="str">
        <f t="shared" si="1"/>
        <v>NÃO</v>
      </c>
      <c r="BF61" s="210" t="s">
        <v>24</v>
      </c>
      <c r="BG61" s="210" t="s">
        <v>24</v>
      </c>
      <c r="BH61" s="210" t="s">
        <v>24</v>
      </c>
      <c r="BI61" s="210" t="s">
        <v>24</v>
      </c>
      <c r="BJ61" s="210" t="s">
        <v>24</v>
      </c>
      <c r="BK61" s="210" t="s">
        <v>24</v>
      </c>
      <c r="BL61" s="210" t="s">
        <v>24</v>
      </c>
      <c r="BM61" s="265" t="s">
        <v>105</v>
      </c>
      <c r="BN61" s="210"/>
      <c r="BO61" s="210"/>
      <c r="BP61" s="210"/>
      <c r="BQ61" s="210"/>
      <c r="BR61" s="210"/>
      <c r="BS61" s="210"/>
      <c r="BT61" s="210"/>
      <c r="BU61" s="210"/>
      <c r="BV61" s="210"/>
      <c r="BW61" s="210"/>
      <c r="BX61" s="210"/>
      <c r="BY61" s="210"/>
      <c r="BZ61" s="212"/>
      <c r="DP61" s="212"/>
    </row>
    <row r="62" spans="1:120" s="211" customFormat="1" ht="35.25" hidden="1" customHeight="1" x14ac:dyDescent="0.25">
      <c r="A62" s="210">
        <v>49</v>
      </c>
      <c r="B62" s="210" t="s">
        <v>99</v>
      </c>
      <c r="C62" s="220">
        <v>1</v>
      </c>
      <c r="D62" s="210">
        <v>0</v>
      </c>
      <c r="E62" s="210">
        <v>0</v>
      </c>
      <c r="F62" s="219" t="s">
        <v>380</v>
      </c>
      <c r="G62" s="220" t="s">
        <v>1</v>
      </c>
      <c r="H62" s="220" t="s">
        <v>366</v>
      </c>
      <c r="I62" s="220" t="s">
        <v>121</v>
      </c>
      <c r="J62" s="219" t="s">
        <v>381</v>
      </c>
      <c r="K62" s="219" t="s">
        <v>382</v>
      </c>
      <c r="L62" s="219" t="s">
        <v>383</v>
      </c>
      <c r="M62" s="220" t="s">
        <v>4</v>
      </c>
      <c r="N62" s="220" t="s">
        <v>312</v>
      </c>
      <c r="O62" s="213">
        <v>44900</v>
      </c>
      <c r="P62" s="213" t="s">
        <v>24</v>
      </c>
      <c r="Q62" s="213" t="s">
        <v>24</v>
      </c>
      <c r="R62" s="213" t="s">
        <v>24</v>
      </c>
      <c r="S62" s="213" t="s">
        <v>24</v>
      </c>
      <c r="T62" s="213" t="s">
        <v>24</v>
      </c>
      <c r="U62" s="213" t="s">
        <v>24</v>
      </c>
      <c r="V62" s="213" t="s">
        <v>24</v>
      </c>
      <c r="W62" s="213" t="s">
        <v>24</v>
      </c>
      <c r="X62" s="213" t="s">
        <v>24</v>
      </c>
      <c r="Y62" s="213" t="s">
        <v>24</v>
      </c>
      <c r="Z62" s="213" t="s">
        <v>24</v>
      </c>
      <c r="AA62" s="210"/>
      <c r="AB62" s="219" t="s">
        <v>384</v>
      </c>
      <c r="AC62" s="219" t="s">
        <v>139</v>
      </c>
      <c r="AD62" s="219" t="s">
        <v>385</v>
      </c>
      <c r="AE62" s="220" t="s">
        <v>3</v>
      </c>
      <c r="AF62" s="210" t="s">
        <v>4</v>
      </c>
      <c r="AG62" s="291"/>
      <c r="AH62" s="291"/>
      <c r="AI62" s="214" t="s">
        <v>24</v>
      </c>
      <c r="AJ62" s="230" t="s">
        <v>104</v>
      </c>
      <c r="AK62" s="210" t="s">
        <v>105</v>
      </c>
      <c r="AL62" s="210" t="s">
        <v>24</v>
      </c>
      <c r="AM62" s="210" t="s">
        <v>24</v>
      </c>
      <c r="AN62" s="210" t="s">
        <v>24</v>
      </c>
      <c r="AO62" s="210"/>
      <c r="AP62" s="219" t="s">
        <v>24</v>
      </c>
      <c r="AQ62" s="210" t="s">
        <v>24</v>
      </c>
      <c r="AR62" s="210" t="s">
        <v>24</v>
      </c>
      <c r="AS62" s="210" t="s">
        <v>24</v>
      </c>
      <c r="AT62" s="210" t="s">
        <v>24</v>
      </c>
      <c r="AU62" s="210" t="s">
        <v>24</v>
      </c>
      <c r="AV62" s="210" t="s">
        <v>24</v>
      </c>
      <c r="AW62" s="210" t="s">
        <v>24</v>
      </c>
      <c r="AX62" s="210" t="s">
        <v>24</v>
      </c>
      <c r="AY62" s="210" t="s">
        <v>24</v>
      </c>
      <c r="AZ62" s="210"/>
      <c r="BA62" s="210"/>
      <c r="BB62" s="217"/>
      <c r="BC62" s="218" t="e">
        <f t="shared" si="6"/>
        <v>#VALUE!</v>
      </c>
      <c r="BD62" s="210" t="str">
        <f t="shared" si="5"/>
        <v>INDENIZAÇÃO</v>
      </c>
      <c r="BE62" s="210" t="str">
        <f t="shared" si="1"/>
        <v>NÃO</v>
      </c>
      <c r="BF62" s="210"/>
      <c r="BG62" s="210"/>
      <c r="BH62" s="210"/>
      <c r="BI62" s="210"/>
      <c r="BJ62" s="210"/>
      <c r="BK62" s="210"/>
      <c r="BL62" s="210"/>
      <c r="BM62" s="210"/>
      <c r="BN62" s="210"/>
      <c r="BO62" s="210"/>
      <c r="BP62" s="210"/>
      <c r="BQ62" s="210"/>
      <c r="BR62" s="210"/>
      <c r="BS62" s="210"/>
      <c r="BT62" s="210"/>
      <c r="BU62" s="210"/>
      <c r="BV62" s="210"/>
      <c r="BW62" s="210"/>
      <c r="BX62" s="210"/>
      <c r="BY62" s="210"/>
      <c r="BZ62" s="212"/>
      <c r="DP62" s="212"/>
    </row>
    <row r="63" spans="1:120" s="211" customFormat="1" ht="35.25" hidden="1" customHeight="1" x14ac:dyDescent="0.25">
      <c r="A63" s="210">
        <v>50</v>
      </c>
      <c r="B63" s="210" t="s">
        <v>99</v>
      </c>
      <c r="C63" s="220">
        <v>1</v>
      </c>
      <c r="D63" s="210">
        <v>0</v>
      </c>
      <c r="E63" s="210">
        <v>0</v>
      </c>
      <c r="F63" s="219" t="s">
        <v>386</v>
      </c>
      <c r="G63" s="220" t="s">
        <v>1</v>
      </c>
      <c r="H63" s="220" t="s">
        <v>2</v>
      </c>
      <c r="I63" s="220" t="s">
        <v>121</v>
      </c>
      <c r="J63" s="219" t="s">
        <v>381</v>
      </c>
      <c r="K63" s="219" t="s">
        <v>382</v>
      </c>
      <c r="L63" s="219" t="s">
        <v>383</v>
      </c>
      <c r="M63" s="220" t="s">
        <v>4</v>
      </c>
      <c r="N63" s="220" t="s">
        <v>14</v>
      </c>
      <c r="O63" s="213">
        <v>45237</v>
      </c>
      <c r="P63" s="213" t="s">
        <v>24</v>
      </c>
      <c r="Q63" s="213" t="s">
        <v>24</v>
      </c>
      <c r="R63" s="213" t="s">
        <v>24</v>
      </c>
      <c r="S63" s="213" t="s">
        <v>24</v>
      </c>
      <c r="T63" s="213" t="s">
        <v>24</v>
      </c>
      <c r="U63" s="229" t="s">
        <v>24</v>
      </c>
      <c r="V63" s="213" t="s">
        <v>24</v>
      </c>
      <c r="W63" s="213" t="s">
        <v>24</v>
      </c>
      <c r="X63" s="213" t="s">
        <v>24</v>
      </c>
      <c r="Y63" s="213" t="s">
        <v>24</v>
      </c>
      <c r="Z63" s="213" t="s">
        <v>24</v>
      </c>
      <c r="AA63" s="210"/>
      <c r="AB63" s="219" t="s">
        <v>384</v>
      </c>
      <c r="AC63" s="219" t="s">
        <v>139</v>
      </c>
      <c r="AD63" s="219" t="s">
        <v>385</v>
      </c>
      <c r="AE63" s="220" t="s">
        <v>3</v>
      </c>
      <c r="AF63" s="210"/>
      <c r="AG63" s="291"/>
      <c r="AH63" s="291"/>
      <c r="AI63" s="214"/>
      <c r="AJ63" s="230" t="s">
        <v>104</v>
      </c>
      <c r="AK63" s="210"/>
      <c r="AL63" s="210"/>
      <c r="AM63" s="210"/>
      <c r="AN63" s="210"/>
      <c r="AO63" s="210"/>
      <c r="AP63" s="219"/>
      <c r="AQ63" s="210"/>
      <c r="AR63" s="210"/>
      <c r="AS63" s="210"/>
      <c r="AT63" s="210"/>
      <c r="AU63" s="210"/>
      <c r="AV63" s="210"/>
      <c r="AW63" s="210"/>
      <c r="AX63" s="213"/>
      <c r="AY63" s="213"/>
      <c r="AZ63" s="213"/>
      <c r="BA63" s="210"/>
      <c r="BB63" s="217"/>
      <c r="BC63" s="218" t="str">
        <f t="shared" si="6"/>
        <v/>
      </c>
      <c r="BD63" s="210" t="str">
        <f t="shared" si="5"/>
        <v>INDENIZAÇÃO</v>
      </c>
      <c r="BE63" s="210" t="str">
        <f t="shared" si="1"/>
        <v>NÃO</v>
      </c>
      <c r="BF63" s="210"/>
      <c r="BG63" s="210"/>
      <c r="BH63" s="210"/>
      <c r="BI63" s="210"/>
      <c r="BJ63" s="210"/>
      <c r="BK63" s="210"/>
      <c r="BL63" s="210"/>
      <c r="BM63" s="210"/>
      <c r="BN63" s="210"/>
      <c r="BO63" s="210"/>
      <c r="BP63" s="210"/>
      <c r="BQ63" s="210"/>
      <c r="BR63" s="210"/>
      <c r="BS63" s="210"/>
      <c r="BT63" s="210"/>
      <c r="BU63" s="210"/>
      <c r="BV63" s="210"/>
      <c r="BW63" s="210"/>
      <c r="BX63" s="210"/>
      <c r="BY63" s="210"/>
      <c r="BZ63" s="212"/>
      <c r="DP63" s="212"/>
    </row>
    <row r="64" spans="1:120" s="211" customFormat="1" ht="35.25" hidden="1" customHeight="1" x14ac:dyDescent="0.25">
      <c r="A64" s="210">
        <v>51</v>
      </c>
      <c r="B64" s="210" t="s">
        <v>99</v>
      </c>
      <c r="C64" s="220">
        <v>1</v>
      </c>
      <c r="D64" s="210">
        <v>0</v>
      </c>
      <c r="E64" s="210">
        <v>0</v>
      </c>
      <c r="F64" s="270" t="s">
        <v>387</v>
      </c>
      <c r="G64" s="220" t="s">
        <v>1</v>
      </c>
      <c r="H64" s="220" t="s">
        <v>2</v>
      </c>
      <c r="I64" s="210" t="s">
        <v>12</v>
      </c>
      <c r="J64" s="270" t="s">
        <v>388</v>
      </c>
      <c r="K64" s="270" t="s">
        <v>389</v>
      </c>
      <c r="L64" s="270" t="s">
        <v>390</v>
      </c>
      <c r="M64" s="220" t="s">
        <v>4</v>
      </c>
      <c r="N64" s="220" t="s">
        <v>14</v>
      </c>
      <c r="O64" s="213">
        <v>44900</v>
      </c>
      <c r="P64" s="213">
        <v>44921</v>
      </c>
      <c r="Q64" s="213" t="s">
        <v>114</v>
      </c>
      <c r="R64" s="213" t="s">
        <v>105</v>
      </c>
      <c r="S64" s="213" t="s">
        <v>105</v>
      </c>
      <c r="T64" s="213" t="s">
        <v>105</v>
      </c>
      <c r="U64" s="213">
        <v>44992</v>
      </c>
      <c r="V64" s="213" t="s">
        <v>105</v>
      </c>
      <c r="W64" s="213">
        <v>44992</v>
      </c>
      <c r="X64" s="213">
        <v>45019</v>
      </c>
      <c r="Y64" s="213">
        <v>45021</v>
      </c>
      <c r="Z64" s="213">
        <v>45042</v>
      </c>
      <c r="AA64" s="210" t="s">
        <v>115</v>
      </c>
      <c r="AB64" s="270" t="s">
        <v>388</v>
      </c>
      <c r="AC64" s="270" t="s">
        <v>389</v>
      </c>
      <c r="AD64" s="270" t="s">
        <v>390</v>
      </c>
      <c r="AE64" s="220" t="s">
        <v>12</v>
      </c>
      <c r="AF64" s="210" t="s">
        <v>4</v>
      </c>
      <c r="AG64" s="291">
        <v>17500</v>
      </c>
      <c r="AH64" s="291">
        <v>47500</v>
      </c>
      <c r="AI64" s="214" t="s">
        <v>23</v>
      </c>
      <c r="AJ64" s="230" t="s">
        <v>104</v>
      </c>
      <c r="AK64" s="210" t="s">
        <v>105</v>
      </c>
      <c r="AL64" s="210" t="s">
        <v>24</v>
      </c>
      <c r="AM64" s="210" t="s">
        <v>24</v>
      </c>
      <c r="AN64" s="210" t="s">
        <v>24</v>
      </c>
      <c r="AO64" s="210"/>
      <c r="AP64" s="219" t="s">
        <v>24</v>
      </c>
      <c r="AQ64" s="210" t="s">
        <v>24</v>
      </c>
      <c r="AR64" s="210" t="s">
        <v>24</v>
      </c>
      <c r="AS64" s="210" t="s">
        <v>24</v>
      </c>
      <c r="AT64" s="210" t="s">
        <v>24</v>
      </c>
      <c r="AU64" s="210" t="s">
        <v>24</v>
      </c>
      <c r="AV64" s="210" t="s">
        <v>24</v>
      </c>
      <c r="AW64" s="210" t="s">
        <v>24</v>
      </c>
      <c r="AX64" s="213">
        <v>45019</v>
      </c>
      <c r="AY64" s="213">
        <v>45021</v>
      </c>
      <c r="AZ64" s="213">
        <v>45042</v>
      </c>
      <c r="BA64" s="210" t="s">
        <v>30</v>
      </c>
      <c r="BB64" s="217" t="s">
        <v>105</v>
      </c>
      <c r="BC64" s="218">
        <f t="shared" si="6"/>
        <v>121</v>
      </c>
      <c r="BD64" s="210" t="str">
        <f t="shared" si="5"/>
        <v>AA</v>
      </c>
      <c r="BE64" s="210" t="str">
        <f t="shared" si="1"/>
        <v>NÃO</v>
      </c>
      <c r="BF64" s="210" t="s">
        <v>24</v>
      </c>
      <c r="BG64" s="210" t="s">
        <v>24</v>
      </c>
      <c r="BH64" s="210" t="s">
        <v>24</v>
      </c>
      <c r="BI64" s="210" t="s">
        <v>24</v>
      </c>
      <c r="BJ64" s="210" t="s">
        <v>24</v>
      </c>
      <c r="BK64" s="210" t="s">
        <v>24</v>
      </c>
      <c r="BL64" s="210" t="s">
        <v>24</v>
      </c>
      <c r="BM64" s="265" t="s">
        <v>105</v>
      </c>
      <c r="BN64" s="210"/>
      <c r="BO64" s="210"/>
      <c r="BP64" s="210"/>
      <c r="BQ64" s="210"/>
      <c r="BR64" s="210"/>
      <c r="BS64" s="210"/>
      <c r="BT64" s="210"/>
      <c r="BU64" s="210"/>
      <c r="BV64" s="210"/>
      <c r="BW64" s="210"/>
      <c r="BX64" s="210"/>
      <c r="BY64" s="210"/>
      <c r="BZ64" s="212"/>
      <c r="DP64" s="212"/>
    </row>
    <row r="65" spans="1:120" s="211" customFormat="1" ht="35.25" hidden="1" customHeight="1" x14ac:dyDescent="0.25">
      <c r="A65" s="210">
        <v>52</v>
      </c>
      <c r="B65" s="210" t="s">
        <v>99</v>
      </c>
      <c r="C65" s="220">
        <v>1</v>
      </c>
      <c r="D65" s="210">
        <v>0</v>
      </c>
      <c r="E65" s="210">
        <v>0</v>
      </c>
      <c r="F65" s="270" t="s">
        <v>391</v>
      </c>
      <c r="G65" s="220" t="s">
        <v>1</v>
      </c>
      <c r="H65" s="220" t="s">
        <v>2</v>
      </c>
      <c r="I65" s="210" t="s">
        <v>12</v>
      </c>
      <c r="J65" s="270" t="s">
        <v>392</v>
      </c>
      <c r="K65" s="270" t="s">
        <v>393</v>
      </c>
      <c r="L65" s="270" t="s">
        <v>394</v>
      </c>
      <c r="M65" s="220" t="s">
        <v>4</v>
      </c>
      <c r="N65" s="220" t="s">
        <v>14</v>
      </c>
      <c r="O65" s="213">
        <v>44900</v>
      </c>
      <c r="P65" s="213">
        <v>44921</v>
      </c>
      <c r="Q65" s="213" t="s">
        <v>114</v>
      </c>
      <c r="R65" s="213" t="s">
        <v>105</v>
      </c>
      <c r="S65" s="213" t="s">
        <v>105</v>
      </c>
      <c r="T65" s="213" t="s">
        <v>105</v>
      </c>
      <c r="U65" s="213">
        <v>44992</v>
      </c>
      <c r="V65" s="213" t="s">
        <v>105</v>
      </c>
      <c r="W65" s="213">
        <v>44992</v>
      </c>
      <c r="X65" s="213">
        <v>45019</v>
      </c>
      <c r="Y65" s="213">
        <v>45026</v>
      </c>
      <c r="Z65" s="213">
        <v>45042</v>
      </c>
      <c r="AA65" s="210" t="s">
        <v>115</v>
      </c>
      <c r="AB65" s="270" t="s">
        <v>392</v>
      </c>
      <c r="AC65" s="270" t="s">
        <v>393</v>
      </c>
      <c r="AD65" s="270" t="s">
        <v>394</v>
      </c>
      <c r="AE65" s="220" t="s">
        <v>12</v>
      </c>
      <c r="AF65" s="210" t="s">
        <v>4</v>
      </c>
      <c r="AG65" s="291">
        <v>24200</v>
      </c>
      <c r="AH65" s="291">
        <v>54200</v>
      </c>
      <c r="AI65" s="214" t="s">
        <v>23</v>
      </c>
      <c r="AJ65" s="230" t="s">
        <v>104</v>
      </c>
      <c r="AK65" s="210" t="s">
        <v>105</v>
      </c>
      <c r="AL65" s="210" t="s">
        <v>24</v>
      </c>
      <c r="AM65" s="210" t="s">
        <v>24</v>
      </c>
      <c r="AN65" s="210" t="s">
        <v>24</v>
      </c>
      <c r="AO65" s="210"/>
      <c r="AP65" s="219" t="s">
        <v>24</v>
      </c>
      <c r="AQ65" s="210" t="s">
        <v>24</v>
      </c>
      <c r="AR65" s="210" t="s">
        <v>24</v>
      </c>
      <c r="AS65" s="210" t="s">
        <v>24</v>
      </c>
      <c r="AT65" s="210" t="s">
        <v>24</v>
      </c>
      <c r="AU65" s="210" t="s">
        <v>24</v>
      </c>
      <c r="AV65" s="210" t="s">
        <v>24</v>
      </c>
      <c r="AW65" s="210" t="s">
        <v>24</v>
      </c>
      <c r="AX65" s="213">
        <v>45019</v>
      </c>
      <c r="AY65" s="213">
        <v>45026</v>
      </c>
      <c r="AZ65" s="213">
        <v>45042</v>
      </c>
      <c r="BA65" s="210" t="s">
        <v>30</v>
      </c>
      <c r="BB65" s="217" t="s">
        <v>105</v>
      </c>
      <c r="BC65" s="218">
        <f t="shared" si="6"/>
        <v>126</v>
      </c>
      <c r="BD65" s="210" t="str">
        <f t="shared" si="5"/>
        <v>AA</v>
      </c>
      <c r="BE65" s="210" t="str">
        <f t="shared" si="1"/>
        <v>NÃO</v>
      </c>
      <c r="BF65" s="210" t="s">
        <v>24</v>
      </c>
      <c r="BG65" s="210" t="s">
        <v>24</v>
      </c>
      <c r="BH65" s="210" t="s">
        <v>24</v>
      </c>
      <c r="BI65" s="210" t="s">
        <v>24</v>
      </c>
      <c r="BJ65" s="210" t="s">
        <v>24</v>
      </c>
      <c r="BK65" s="210" t="s">
        <v>24</v>
      </c>
      <c r="BL65" s="210" t="s">
        <v>24</v>
      </c>
      <c r="BM65" s="265" t="s">
        <v>105</v>
      </c>
      <c r="BN65" s="210"/>
      <c r="BO65" s="210"/>
      <c r="BP65" s="210"/>
      <c r="BQ65" s="210"/>
      <c r="BR65" s="210"/>
      <c r="BS65" s="210"/>
      <c r="BT65" s="210"/>
      <c r="BU65" s="210"/>
      <c r="BV65" s="210"/>
      <c r="BW65" s="210"/>
      <c r="BX65" s="210"/>
      <c r="BY65" s="210"/>
      <c r="BZ65" s="212"/>
      <c r="DP65" s="212"/>
    </row>
    <row r="66" spans="1:120" s="211" customFormat="1" ht="35.25" customHeight="1" x14ac:dyDescent="0.25">
      <c r="A66" s="210">
        <v>53</v>
      </c>
      <c r="B66" s="210" t="s">
        <v>99</v>
      </c>
      <c r="C66" s="220">
        <v>1</v>
      </c>
      <c r="D66" s="210">
        <v>0</v>
      </c>
      <c r="E66" s="210">
        <v>0</v>
      </c>
      <c r="F66" s="270" t="s">
        <v>395</v>
      </c>
      <c r="G66" s="220" t="s">
        <v>1</v>
      </c>
      <c r="H66" s="220" t="s">
        <v>2</v>
      </c>
      <c r="I66" s="210" t="s">
        <v>12</v>
      </c>
      <c r="J66" s="270" t="s">
        <v>396</v>
      </c>
      <c r="K66" s="270" t="s">
        <v>397</v>
      </c>
      <c r="L66" s="270" t="s">
        <v>398</v>
      </c>
      <c r="M66" s="220" t="s">
        <v>4</v>
      </c>
      <c r="N66" s="220" t="s">
        <v>5</v>
      </c>
      <c r="O66" s="213">
        <v>44900</v>
      </c>
      <c r="P66" s="213" t="s">
        <v>24</v>
      </c>
      <c r="Q66" s="213" t="s">
        <v>24</v>
      </c>
      <c r="R66" s="213" t="s">
        <v>24</v>
      </c>
      <c r="S66" s="213" t="s">
        <v>24</v>
      </c>
      <c r="T66" s="213" t="s">
        <v>24</v>
      </c>
      <c r="U66" s="213" t="s">
        <v>24</v>
      </c>
      <c r="V66" s="213" t="s">
        <v>24</v>
      </c>
      <c r="W66" s="213" t="s">
        <v>24</v>
      </c>
      <c r="X66" s="213" t="s">
        <v>24</v>
      </c>
      <c r="Y66" s="213" t="s">
        <v>24</v>
      </c>
      <c r="Z66" s="213" t="s">
        <v>24</v>
      </c>
      <c r="AA66" s="210"/>
      <c r="AB66" s="270" t="s">
        <v>396</v>
      </c>
      <c r="AC66" s="270" t="s">
        <v>397</v>
      </c>
      <c r="AD66" s="270" t="s">
        <v>398</v>
      </c>
      <c r="AE66" s="220" t="s">
        <v>12</v>
      </c>
      <c r="AF66" s="210" t="s">
        <v>4</v>
      </c>
      <c r="AG66" s="291">
        <f>AH66-30000</f>
        <v>17900</v>
      </c>
      <c r="AH66" s="291">
        <v>47900</v>
      </c>
      <c r="AI66" s="214" t="s">
        <v>6</v>
      </c>
      <c r="AJ66" s="230" t="s">
        <v>104</v>
      </c>
      <c r="AK66" s="210" t="s">
        <v>105</v>
      </c>
      <c r="AL66" s="210" t="s">
        <v>105</v>
      </c>
      <c r="AM66" s="210" t="s">
        <v>105</v>
      </c>
      <c r="AN66" s="210" t="s">
        <v>106</v>
      </c>
      <c r="AO66" s="210"/>
      <c r="AP66" s="219" t="s">
        <v>399</v>
      </c>
      <c r="AQ66" s="210" t="s">
        <v>105</v>
      </c>
      <c r="AR66" s="210" t="s">
        <v>105</v>
      </c>
      <c r="AS66" s="210" t="s">
        <v>105</v>
      </c>
      <c r="AT66" s="210" t="s">
        <v>105</v>
      </c>
      <c r="AU66" s="213">
        <v>44966</v>
      </c>
      <c r="AV66" s="210" t="s">
        <v>105</v>
      </c>
      <c r="AW66" s="210" t="s">
        <v>105</v>
      </c>
      <c r="AX66" s="213">
        <v>45012</v>
      </c>
      <c r="AY66" s="213">
        <v>45012</v>
      </c>
      <c r="AZ66" s="253">
        <v>45042</v>
      </c>
      <c r="BA66" s="210" t="s">
        <v>30</v>
      </c>
      <c r="BB66" s="217" t="s">
        <v>105</v>
      </c>
      <c r="BC66" s="218">
        <f t="shared" si="6"/>
        <v>112</v>
      </c>
      <c r="BD66" s="210" t="str">
        <f t="shared" si="5"/>
        <v>INDENIZAÇÃO</v>
      </c>
      <c r="BE66" s="210" t="str">
        <f t="shared" si="1"/>
        <v>NÃO</v>
      </c>
      <c r="BF66" s="210" t="s">
        <v>24</v>
      </c>
      <c r="BG66" s="210" t="s">
        <v>24</v>
      </c>
      <c r="BH66" s="210" t="s">
        <v>24</v>
      </c>
      <c r="BI66" s="210" t="s">
        <v>105</v>
      </c>
      <c r="BJ66" s="210" t="s">
        <v>105</v>
      </c>
      <c r="BK66" s="253">
        <v>45190</v>
      </c>
      <c r="BL66" s="210" t="s">
        <v>105</v>
      </c>
      <c r="BM66" s="266" t="s">
        <v>105</v>
      </c>
      <c r="BN66" s="210"/>
      <c r="BO66" s="210"/>
      <c r="BP66" s="210"/>
      <c r="BQ66" s="210"/>
      <c r="BR66" s="210"/>
      <c r="BS66" s="210"/>
      <c r="BT66" s="210"/>
      <c r="BU66" s="210"/>
      <c r="BV66" s="210"/>
      <c r="BW66" s="210"/>
      <c r="BX66" s="210"/>
      <c r="BY66" s="210"/>
      <c r="BZ66" s="212"/>
      <c r="DP66" s="212"/>
    </row>
    <row r="67" spans="1:120" s="211" customFormat="1" ht="35.25" customHeight="1" x14ac:dyDescent="0.25">
      <c r="A67" s="210">
        <v>54</v>
      </c>
      <c r="B67" s="210" t="s">
        <v>99</v>
      </c>
      <c r="C67" s="220">
        <v>1</v>
      </c>
      <c r="D67" s="210">
        <v>0</v>
      </c>
      <c r="E67" s="210">
        <v>0</v>
      </c>
      <c r="F67" s="270" t="s">
        <v>400</v>
      </c>
      <c r="G67" s="220" t="s">
        <v>1</v>
      </c>
      <c r="H67" s="220" t="s">
        <v>2</v>
      </c>
      <c r="I67" s="210" t="s">
        <v>12</v>
      </c>
      <c r="J67" s="270" t="s">
        <v>401</v>
      </c>
      <c r="K67" s="270" t="s">
        <v>402</v>
      </c>
      <c r="L67" s="270" t="s">
        <v>403</v>
      </c>
      <c r="M67" s="220" t="s">
        <v>4</v>
      </c>
      <c r="N67" s="220" t="s">
        <v>5</v>
      </c>
      <c r="O67" s="213">
        <v>44900</v>
      </c>
      <c r="P67" s="213" t="s">
        <v>24</v>
      </c>
      <c r="Q67" s="213" t="s">
        <v>24</v>
      </c>
      <c r="R67" s="213" t="s">
        <v>24</v>
      </c>
      <c r="S67" s="213" t="s">
        <v>24</v>
      </c>
      <c r="T67" s="213" t="s">
        <v>24</v>
      </c>
      <c r="U67" s="213" t="s">
        <v>24</v>
      </c>
      <c r="V67" s="213" t="s">
        <v>24</v>
      </c>
      <c r="W67" s="213" t="s">
        <v>24</v>
      </c>
      <c r="X67" s="213" t="s">
        <v>24</v>
      </c>
      <c r="Y67" s="213" t="s">
        <v>24</v>
      </c>
      <c r="Z67" s="213" t="s">
        <v>24</v>
      </c>
      <c r="AA67" s="210"/>
      <c r="AB67" s="270" t="s">
        <v>401</v>
      </c>
      <c r="AC67" s="270" t="s">
        <v>402</v>
      </c>
      <c r="AD67" s="270" t="s">
        <v>403</v>
      </c>
      <c r="AE67" s="220" t="s">
        <v>12</v>
      </c>
      <c r="AF67" s="210" t="s">
        <v>4</v>
      </c>
      <c r="AG67" s="291">
        <v>18100</v>
      </c>
      <c r="AH67" s="291">
        <v>48100</v>
      </c>
      <c r="AI67" s="214" t="s">
        <v>6</v>
      </c>
      <c r="AJ67" s="230" t="s">
        <v>104</v>
      </c>
      <c r="AK67" s="210" t="s">
        <v>105</v>
      </c>
      <c r="AL67" s="210" t="s">
        <v>105</v>
      </c>
      <c r="AM67" s="210" t="s">
        <v>105</v>
      </c>
      <c r="AN67" s="210" t="s">
        <v>106</v>
      </c>
      <c r="AO67" s="210"/>
      <c r="AP67" s="219" t="s">
        <v>404</v>
      </c>
      <c r="AQ67" s="210" t="s">
        <v>105</v>
      </c>
      <c r="AR67" s="210" t="s">
        <v>105</v>
      </c>
      <c r="AS67" s="210" t="s">
        <v>105</v>
      </c>
      <c r="AT67" s="210" t="s">
        <v>105</v>
      </c>
      <c r="AU67" s="213">
        <v>44922</v>
      </c>
      <c r="AV67" s="210" t="s">
        <v>105</v>
      </c>
      <c r="AW67" s="210" t="s">
        <v>105</v>
      </c>
      <c r="AX67" s="213">
        <v>44924</v>
      </c>
      <c r="AY67" s="213">
        <v>44924</v>
      </c>
      <c r="AZ67" s="253">
        <v>44936</v>
      </c>
      <c r="BA67" s="220" t="s">
        <v>30</v>
      </c>
      <c r="BB67" s="217" t="s">
        <v>105</v>
      </c>
      <c r="BC67" s="218">
        <f t="shared" si="6"/>
        <v>24</v>
      </c>
      <c r="BD67" s="210" t="str">
        <f t="shared" si="5"/>
        <v>INDENIZAÇÃO</v>
      </c>
      <c r="BE67" s="210" t="str">
        <f t="shared" si="1"/>
        <v>NÃO</v>
      </c>
      <c r="BF67" s="210" t="s">
        <v>24</v>
      </c>
      <c r="BG67" s="210" t="s">
        <v>24</v>
      </c>
      <c r="BH67" s="210" t="s">
        <v>24</v>
      </c>
      <c r="BI67" s="254" t="s">
        <v>105</v>
      </c>
      <c r="BJ67" s="210" t="s">
        <v>105</v>
      </c>
      <c r="BK67" s="253">
        <v>45057</v>
      </c>
      <c r="BL67" s="254" t="s">
        <v>105</v>
      </c>
      <c r="BM67" s="265" t="s">
        <v>105</v>
      </c>
      <c r="BN67" s="210"/>
      <c r="BO67" s="210"/>
      <c r="BP67" s="210"/>
      <c r="BQ67" s="210"/>
      <c r="BR67" s="210"/>
      <c r="BS67" s="210"/>
      <c r="BT67" s="210"/>
      <c r="BU67" s="210"/>
      <c r="BV67" s="210"/>
      <c r="BW67" s="210"/>
      <c r="BX67" s="210"/>
      <c r="BY67" s="210"/>
      <c r="BZ67" s="212"/>
      <c r="DP67" s="212"/>
    </row>
    <row r="68" spans="1:120" s="211" customFormat="1" ht="35.25" customHeight="1" x14ac:dyDescent="0.25">
      <c r="A68" s="210">
        <v>55</v>
      </c>
      <c r="B68" s="210" t="s">
        <v>99</v>
      </c>
      <c r="C68" s="220">
        <v>1</v>
      </c>
      <c r="D68" s="210">
        <v>0</v>
      </c>
      <c r="E68" s="210">
        <v>0</v>
      </c>
      <c r="F68" s="270" t="s">
        <v>405</v>
      </c>
      <c r="G68" s="220" t="s">
        <v>1</v>
      </c>
      <c r="H68" s="220" t="s">
        <v>2</v>
      </c>
      <c r="I68" s="220" t="s">
        <v>121</v>
      </c>
      <c r="J68" s="270" t="s">
        <v>406</v>
      </c>
      <c r="K68" s="270" t="s">
        <v>407</v>
      </c>
      <c r="L68" s="270" t="s">
        <v>408</v>
      </c>
      <c r="M68" s="220" t="s">
        <v>4</v>
      </c>
      <c r="N68" s="220" t="s">
        <v>14</v>
      </c>
      <c r="O68" s="213">
        <v>44900</v>
      </c>
      <c r="P68" s="213">
        <v>44921</v>
      </c>
      <c r="Q68" s="213" t="s">
        <v>114</v>
      </c>
      <c r="R68" s="213" t="s">
        <v>105</v>
      </c>
      <c r="S68" s="213" t="s">
        <v>105</v>
      </c>
      <c r="T68" s="213" t="s">
        <v>105</v>
      </c>
      <c r="U68" s="213">
        <v>44992</v>
      </c>
      <c r="V68" s="213" t="s">
        <v>105</v>
      </c>
      <c r="W68" s="213">
        <v>44992</v>
      </c>
      <c r="X68" s="213">
        <v>45019</v>
      </c>
      <c r="Y68" s="213">
        <v>45019</v>
      </c>
      <c r="Z68" s="253">
        <v>45054</v>
      </c>
      <c r="AA68" s="210" t="s">
        <v>115</v>
      </c>
      <c r="AB68" s="270" t="s">
        <v>409</v>
      </c>
      <c r="AC68" s="270" t="s">
        <v>410</v>
      </c>
      <c r="AD68" s="270" t="s">
        <v>411</v>
      </c>
      <c r="AE68" s="220" t="s">
        <v>3</v>
      </c>
      <c r="AF68" s="210" t="s">
        <v>4</v>
      </c>
      <c r="AG68" s="291">
        <v>18400</v>
      </c>
      <c r="AH68" s="291">
        <v>48400</v>
      </c>
      <c r="AI68" s="214" t="s">
        <v>6</v>
      </c>
      <c r="AJ68" s="230" t="s">
        <v>104</v>
      </c>
      <c r="AK68" s="210" t="s">
        <v>105</v>
      </c>
      <c r="AL68" s="210" t="s">
        <v>105</v>
      </c>
      <c r="AM68" s="210" t="s">
        <v>105</v>
      </c>
      <c r="AN68" s="210" t="s">
        <v>106</v>
      </c>
      <c r="AO68" s="210"/>
      <c r="AP68" s="219" t="s">
        <v>412</v>
      </c>
      <c r="AQ68" s="210" t="s">
        <v>105</v>
      </c>
      <c r="AR68" s="210" t="s">
        <v>105</v>
      </c>
      <c r="AS68" s="210" t="s">
        <v>105</v>
      </c>
      <c r="AT68" s="210" t="s">
        <v>105</v>
      </c>
      <c r="AU68" s="213">
        <v>44966</v>
      </c>
      <c r="AV68" s="210" t="s">
        <v>105</v>
      </c>
      <c r="AW68" s="210" t="s">
        <v>105</v>
      </c>
      <c r="AX68" s="213">
        <v>45012</v>
      </c>
      <c r="AY68" s="213">
        <v>45012</v>
      </c>
      <c r="AZ68" s="253">
        <v>45054</v>
      </c>
      <c r="BA68" s="220" t="s">
        <v>30</v>
      </c>
      <c r="BB68" s="217" t="s">
        <v>105</v>
      </c>
      <c r="BC68" s="218">
        <f t="shared" si="6"/>
        <v>112</v>
      </c>
      <c r="BD68" s="210" t="str">
        <f t="shared" si="5"/>
        <v>INDENIZAÇÃO</v>
      </c>
      <c r="BE68" s="210" t="str">
        <f t="shared" si="1"/>
        <v>NÃO</v>
      </c>
      <c r="BF68" s="210" t="s">
        <v>24</v>
      </c>
      <c r="BG68" s="210" t="s">
        <v>24</v>
      </c>
      <c r="BH68" s="210" t="s">
        <v>24</v>
      </c>
      <c r="BI68" s="210" t="s">
        <v>105</v>
      </c>
      <c r="BJ68" s="210" t="s">
        <v>105</v>
      </c>
      <c r="BK68" s="253">
        <v>45310</v>
      </c>
      <c r="BL68" s="254" t="s">
        <v>105</v>
      </c>
      <c r="BM68" s="266" t="s">
        <v>105</v>
      </c>
      <c r="BN68" s="210"/>
      <c r="BO68" s="210"/>
      <c r="BP68" s="210"/>
      <c r="BQ68" s="210"/>
      <c r="BR68" s="210"/>
      <c r="BS68" s="210"/>
      <c r="BT68" s="210"/>
      <c r="BU68" s="210"/>
      <c r="BV68" s="210"/>
      <c r="BW68" s="210"/>
      <c r="BX68" s="210"/>
      <c r="BY68" s="210"/>
      <c r="BZ68" s="212"/>
      <c r="DP68" s="212"/>
    </row>
    <row r="69" spans="1:120" s="211" customFormat="1" ht="35.25" hidden="1" customHeight="1" x14ac:dyDescent="0.25">
      <c r="A69" s="210">
        <v>56</v>
      </c>
      <c r="B69" s="210" t="s">
        <v>99</v>
      </c>
      <c r="C69" s="220">
        <v>1</v>
      </c>
      <c r="D69" s="210">
        <v>0</v>
      </c>
      <c r="E69" s="210">
        <v>0</v>
      </c>
      <c r="F69" s="270" t="s">
        <v>413</v>
      </c>
      <c r="G69" s="220" t="s">
        <v>1</v>
      </c>
      <c r="H69" s="220" t="s">
        <v>2</v>
      </c>
      <c r="I69" s="220" t="s">
        <v>121</v>
      </c>
      <c r="J69" s="270" t="s">
        <v>414</v>
      </c>
      <c r="K69" s="270" t="s">
        <v>415</v>
      </c>
      <c r="L69" s="270" t="s">
        <v>416</v>
      </c>
      <c r="M69" s="220" t="s">
        <v>4</v>
      </c>
      <c r="N69" s="220" t="s">
        <v>14</v>
      </c>
      <c r="O69" s="213">
        <v>44900</v>
      </c>
      <c r="P69" s="213">
        <v>44921</v>
      </c>
      <c r="Q69" s="213" t="s">
        <v>114</v>
      </c>
      <c r="R69" s="213" t="s">
        <v>105</v>
      </c>
      <c r="S69" s="213" t="s">
        <v>105</v>
      </c>
      <c r="T69" s="213" t="s">
        <v>105</v>
      </c>
      <c r="U69" s="213">
        <v>44992</v>
      </c>
      <c r="V69" s="213" t="s">
        <v>105</v>
      </c>
      <c r="W69" s="213">
        <v>44992</v>
      </c>
      <c r="X69" s="213">
        <v>45019</v>
      </c>
      <c r="Y69" s="213">
        <v>45019</v>
      </c>
      <c r="Z69" s="253">
        <v>45054</v>
      </c>
      <c r="AA69" s="210" t="s">
        <v>115</v>
      </c>
      <c r="AB69" s="270" t="s">
        <v>409</v>
      </c>
      <c r="AC69" s="270" t="s">
        <v>410</v>
      </c>
      <c r="AD69" s="270" t="s">
        <v>411</v>
      </c>
      <c r="AE69" s="220" t="s">
        <v>3</v>
      </c>
      <c r="AF69" s="214" t="s">
        <v>24</v>
      </c>
      <c r="AG69" s="291">
        <v>13300</v>
      </c>
      <c r="AH69" s="291">
        <v>43300</v>
      </c>
      <c r="AI69" s="214" t="s">
        <v>417</v>
      </c>
      <c r="AJ69" s="230" t="s">
        <v>104</v>
      </c>
      <c r="AK69" s="214" t="s">
        <v>24</v>
      </c>
      <c r="AL69" s="214" t="s">
        <v>24</v>
      </c>
      <c r="AM69" s="214" t="s">
        <v>24</v>
      </c>
      <c r="AN69" s="214" t="s">
        <v>24</v>
      </c>
      <c r="AO69" s="210"/>
      <c r="AP69" s="219" t="s">
        <v>24</v>
      </c>
      <c r="AQ69" s="214" t="s">
        <v>24</v>
      </c>
      <c r="AR69" s="214" t="s">
        <v>24</v>
      </c>
      <c r="AS69" s="214" t="s">
        <v>24</v>
      </c>
      <c r="AT69" s="214" t="s">
        <v>24</v>
      </c>
      <c r="AU69" s="214" t="s">
        <v>24</v>
      </c>
      <c r="AV69" s="214" t="s">
        <v>24</v>
      </c>
      <c r="AW69" s="214" t="s">
        <v>24</v>
      </c>
      <c r="AX69" s="214" t="s">
        <v>24</v>
      </c>
      <c r="AY69" s="214" t="s">
        <v>24</v>
      </c>
      <c r="AZ69" s="253">
        <v>45054</v>
      </c>
      <c r="BA69" s="220" t="s">
        <v>30</v>
      </c>
      <c r="BB69" s="217" t="s">
        <v>105</v>
      </c>
      <c r="BC69" s="218" t="s">
        <v>24</v>
      </c>
      <c r="BD69" s="210" t="str">
        <f t="shared" si="5"/>
        <v>INDENIZAÇÃO</v>
      </c>
      <c r="BE69" s="210" t="str">
        <f t="shared" si="1"/>
        <v>NÃO</v>
      </c>
      <c r="BF69" s="214" t="s">
        <v>24</v>
      </c>
      <c r="BG69" s="214" t="s">
        <v>24</v>
      </c>
      <c r="BH69" s="214" t="s">
        <v>24</v>
      </c>
      <c r="BI69" s="214" t="s">
        <v>24</v>
      </c>
      <c r="BJ69" s="214" t="s">
        <v>24</v>
      </c>
      <c r="BK69" s="214" t="s">
        <v>24</v>
      </c>
      <c r="BL69" s="214" t="s">
        <v>24</v>
      </c>
      <c r="BM69" s="251" t="s">
        <v>105</v>
      </c>
      <c r="BN69" s="210"/>
      <c r="BO69" s="210"/>
      <c r="BP69" s="210"/>
      <c r="BQ69" s="210"/>
      <c r="BR69" s="210"/>
      <c r="BS69" s="210"/>
      <c r="BT69" s="210"/>
      <c r="BU69" s="210"/>
      <c r="BV69" s="210"/>
      <c r="BW69" s="210"/>
      <c r="BX69" s="210"/>
      <c r="BY69" s="210"/>
      <c r="BZ69" s="212"/>
      <c r="DP69" s="212"/>
    </row>
    <row r="70" spans="1:120" s="211" customFormat="1" ht="35.25" customHeight="1" x14ac:dyDescent="0.25">
      <c r="A70" s="210">
        <v>57</v>
      </c>
      <c r="B70" s="210" t="s">
        <v>99</v>
      </c>
      <c r="C70" s="210">
        <v>1</v>
      </c>
      <c r="D70" s="210">
        <v>0</v>
      </c>
      <c r="E70" s="210">
        <v>0</v>
      </c>
      <c r="F70" s="219" t="s">
        <v>418</v>
      </c>
      <c r="G70" s="210" t="s">
        <v>1</v>
      </c>
      <c r="H70" s="210" t="s">
        <v>2</v>
      </c>
      <c r="I70" s="210" t="s">
        <v>12</v>
      </c>
      <c r="J70" s="219" t="s">
        <v>419</v>
      </c>
      <c r="K70" s="219" t="s">
        <v>420</v>
      </c>
      <c r="L70" s="219" t="s">
        <v>421</v>
      </c>
      <c r="M70" s="220" t="s">
        <v>4</v>
      </c>
      <c r="N70" s="220" t="s">
        <v>5</v>
      </c>
      <c r="O70" s="213">
        <v>44900</v>
      </c>
      <c r="P70" s="213" t="s">
        <v>24</v>
      </c>
      <c r="Q70" s="213" t="s">
        <v>24</v>
      </c>
      <c r="R70" s="213" t="s">
        <v>24</v>
      </c>
      <c r="S70" s="213" t="s">
        <v>24</v>
      </c>
      <c r="T70" s="213" t="s">
        <v>24</v>
      </c>
      <c r="U70" s="213" t="s">
        <v>24</v>
      </c>
      <c r="V70" s="213" t="s">
        <v>24</v>
      </c>
      <c r="W70" s="213" t="s">
        <v>24</v>
      </c>
      <c r="X70" s="213" t="s">
        <v>24</v>
      </c>
      <c r="Y70" s="213" t="s">
        <v>24</v>
      </c>
      <c r="Z70" s="213" t="s">
        <v>24</v>
      </c>
      <c r="AA70" s="210"/>
      <c r="AB70" s="219" t="s">
        <v>419</v>
      </c>
      <c r="AC70" s="219" t="s">
        <v>420</v>
      </c>
      <c r="AD70" s="219" t="s">
        <v>421</v>
      </c>
      <c r="AE70" s="220" t="s">
        <v>12</v>
      </c>
      <c r="AF70" s="210" t="s">
        <v>4</v>
      </c>
      <c r="AG70" s="230">
        <v>13800</v>
      </c>
      <c r="AH70" s="230">
        <v>43800</v>
      </c>
      <c r="AI70" s="214" t="s">
        <v>6</v>
      </c>
      <c r="AJ70" s="230" t="s">
        <v>104</v>
      </c>
      <c r="AK70" s="210" t="s">
        <v>105</v>
      </c>
      <c r="AL70" s="210" t="s">
        <v>105</v>
      </c>
      <c r="AM70" s="210" t="s">
        <v>105</v>
      </c>
      <c r="AN70" s="210" t="s">
        <v>106</v>
      </c>
      <c r="AO70" s="228"/>
      <c r="AP70" s="219" t="s">
        <v>422</v>
      </c>
      <c r="AQ70" s="210" t="s">
        <v>105</v>
      </c>
      <c r="AR70" s="210" t="s">
        <v>105</v>
      </c>
      <c r="AS70" s="210" t="s">
        <v>105</v>
      </c>
      <c r="AT70" s="210" t="s">
        <v>105</v>
      </c>
      <c r="AU70" s="213">
        <v>45014</v>
      </c>
      <c r="AV70" s="210" t="s">
        <v>105</v>
      </c>
      <c r="AW70" s="210" t="s">
        <v>105</v>
      </c>
      <c r="AX70" s="213">
        <v>45022</v>
      </c>
      <c r="AY70" s="213">
        <v>45022</v>
      </c>
      <c r="AZ70" s="253">
        <v>45054</v>
      </c>
      <c r="BA70" s="220" t="s">
        <v>30</v>
      </c>
      <c r="BB70" s="217" t="s">
        <v>105</v>
      </c>
      <c r="BC70" s="218">
        <f>IF(AY70-ON70=0,"",AY70-O70)</f>
        <v>122</v>
      </c>
      <c r="BD70" s="210" t="str">
        <f t="shared" si="5"/>
        <v>INDENIZAÇÃO</v>
      </c>
      <c r="BE70" s="210" t="str">
        <f t="shared" si="1"/>
        <v>NÃO</v>
      </c>
      <c r="BF70" s="210" t="s">
        <v>24</v>
      </c>
      <c r="BG70" s="210" t="s">
        <v>24</v>
      </c>
      <c r="BH70" s="210" t="s">
        <v>24</v>
      </c>
      <c r="BI70" s="210" t="s">
        <v>105</v>
      </c>
      <c r="BJ70" s="210" t="s">
        <v>105</v>
      </c>
      <c r="BK70" s="253">
        <v>45190</v>
      </c>
      <c r="BL70" s="210" t="s">
        <v>105</v>
      </c>
      <c r="BM70" s="266" t="s">
        <v>105</v>
      </c>
      <c r="BN70" s="210"/>
      <c r="BO70" s="210"/>
      <c r="BP70" s="210"/>
      <c r="BQ70" s="210"/>
      <c r="BR70" s="210"/>
      <c r="BS70" s="210"/>
      <c r="BT70" s="210"/>
      <c r="BU70" s="210"/>
      <c r="BV70" s="210"/>
      <c r="BW70" s="210"/>
      <c r="BX70" s="210"/>
      <c r="BY70" s="210"/>
      <c r="BZ70" s="212"/>
      <c r="DP70" s="212"/>
    </row>
    <row r="71" spans="1:120" s="211" customFormat="1" ht="35.25" customHeight="1" x14ac:dyDescent="0.25">
      <c r="A71" s="210">
        <v>58</v>
      </c>
      <c r="B71" s="210" t="s">
        <v>99</v>
      </c>
      <c r="C71" s="220">
        <v>1</v>
      </c>
      <c r="D71" s="210">
        <v>0</v>
      </c>
      <c r="E71" s="210">
        <v>0</v>
      </c>
      <c r="F71" s="270" t="s">
        <v>423</v>
      </c>
      <c r="G71" s="220" t="s">
        <v>138</v>
      </c>
      <c r="H71" s="220" t="s">
        <v>2</v>
      </c>
      <c r="I71" s="210" t="s">
        <v>12</v>
      </c>
      <c r="J71" s="270" t="s">
        <v>424</v>
      </c>
      <c r="K71" s="270" t="s">
        <v>425</v>
      </c>
      <c r="L71" s="270" t="s">
        <v>426</v>
      </c>
      <c r="M71" s="220" t="s">
        <v>4</v>
      </c>
      <c r="N71" s="220" t="s">
        <v>5</v>
      </c>
      <c r="O71" s="213">
        <v>44900</v>
      </c>
      <c r="P71" s="213" t="s">
        <v>24</v>
      </c>
      <c r="Q71" s="213" t="s">
        <v>24</v>
      </c>
      <c r="R71" s="213" t="s">
        <v>24</v>
      </c>
      <c r="S71" s="213" t="s">
        <v>24</v>
      </c>
      <c r="T71" s="213" t="s">
        <v>24</v>
      </c>
      <c r="U71" s="213" t="s">
        <v>24</v>
      </c>
      <c r="V71" s="213" t="s">
        <v>24</v>
      </c>
      <c r="W71" s="213" t="s">
        <v>24</v>
      </c>
      <c r="X71" s="213" t="s">
        <v>24</v>
      </c>
      <c r="Y71" s="213" t="s">
        <v>24</v>
      </c>
      <c r="Z71" s="213" t="s">
        <v>24</v>
      </c>
      <c r="AA71" s="210"/>
      <c r="AB71" s="270" t="s">
        <v>424</v>
      </c>
      <c r="AC71" s="270" t="s">
        <v>425</v>
      </c>
      <c r="AD71" s="270" t="s">
        <v>426</v>
      </c>
      <c r="AE71" s="220" t="s">
        <v>12</v>
      </c>
      <c r="AF71" s="210" t="s">
        <v>4</v>
      </c>
      <c r="AG71" s="291">
        <v>12600</v>
      </c>
      <c r="AH71" s="291">
        <v>42600</v>
      </c>
      <c r="AI71" s="214" t="s">
        <v>6</v>
      </c>
      <c r="AJ71" s="230" t="s">
        <v>104</v>
      </c>
      <c r="AK71" s="210" t="s">
        <v>105</v>
      </c>
      <c r="AL71" s="210" t="s">
        <v>105</v>
      </c>
      <c r="AM71" s="210" t="s">
        <v>105</v>
      </c>
      <c r="AN71" s="210" t="s">
        <v>106</v>
      </c>
      <c r="AO71" s="210"/>
      <c r="AP71" s="219" t="s">
        <v>427</v>
      </c>
      <c r="AQ71" s="210" t="s">
        <v>105</v>
      </c>
      <c r="AR71" s="210" t="s">
        <v>105</v>
      </c>
      <c r="AS71" s="210" t="s">
        <v>105</v>
      </c>
      <c r="AT71" s="210" t="s">
        <v>105</v>
      </c>
      <c r="AU71" s="213">
        <v>45014</v>
      </c>
      <c r="AV71" s="210" t="s">
        <v>105</v>
      </c>
      <c r="AW71" s="210" t="s">
        <v>105</v>
      </c>
      <c r="AX71" s="213">
        <v>45022</v>
      </c>
      <c r="AY71" s="213">
        <v>45022</v>
      </c>
      <c r="AZ71" s="253">
        <v>45054</v>
      </c>
      <c r="BA71" s="220" t="s">
        <v>30</v>
      </c>
      <c r="BB71" s="217" t="s">
        <v>105</v>
      </c>
      <c r="BC71" s="218">
        <f>IF(AY71-ON71=0,"",AY71-O71)</f>
        <v>122</v>
      </c>
      <c r="BD71" s="210" t="str">
        <f t="shared" si="5"/>
        <v>INDENIZAÇÃO</v>
      </c>
      <c r="BE71" s="210" t="str">
        <f t="shared" si="1"/>
        <v>NÃO</v>
      </c>
      <c r="BF71" s="210" t="s">
        <v>24</v>
      </c>
      <c r="BG71" s="210" t="s">
        <v>24</v>
      </c>
      <c r="BH71" s="210" t="s">
        <v>24</v>
      </c>
      <c r="BI71" s="210" t="s">
        <v>105</v>
      </c>
      <c r="BJ71" s="210" t="s">
        <v>105</v>
      </c>
      <c r="BK71" s="253">
        <v>45310</v>
      </c>
      <c r="BL71" s="254" t="s">
        <v>105</v>
      </c>
      <c r="BM71" s="266" t="s">
        <v>105</v>
      </c>
      <c r="BN71" s="210"/>
      <c r="BO71" s="210"/>
      <c r="BP71" s="210"/>
      <c r="BQ71" s="210"/>
      <c r="BR71" s="210"/>
      <c r="BS71" s="210"/>
      <c r="BT71" s="210"/>
      <c r="BU71" s="210"/>
      <c r="BV71" s="210"/>
      <c r="BW71" s="210"/>
      <c r="BX71" s="210"/>
      <c r="BY71" s="210"/>
      <c r="BZ71" s="212"/>
    </row>
    <row r="72" spans="1:120" s="211" customFormat="1" ht="35.25" customHeight="1" x14ac:dyDescent="0.25">
      <c r="A72" s="210">
        <v>59</v>
      </c>
      <c r="B72" s="210" t="s">
        <v>99</v>
      </c>
      <c r="C72" s="220">
        <v>1</v>
      </c>
      <c r="D72" s="210">
        <v>0</v>
      </c>
      <c r="E72" s="210">
        <v>0</v>
      </c>
      <c r="F72" s="270" t="s">
        <v>428</v>
      </c>
      <c r="G72" s="220" t="s">
        <v>1</v>
      </c>
      <c r="H72" s="220" t="s">
        <v>2</v>
      </c>
      <c r="I72" s="210" t="s">
        <v>12</v>
      </c>
      <c r="J72" s="270" t="s">
        <v>429</v>
      </c>
      <c r="K72" s="270" t="s">
        <v>430</v>
      </c>
      <c r="L72" s="270" t="s">
        <v>431</v>
      </c>
      <c r="M72" s="220" t="s">
        <v>4</v>
      </c>
      <c r="N72" s="220" t="s">
        <v>5</v>
      </c>
      <c r="O72" s="213">
        <v>44900</v>
      </c>
      <c r="P72" s="213" t="s">
        <v>24</v>
      </c>
      <c r="Q72" s="213" t="s">
        <v>24</v>
      </c>
      <c r="R72" s="213" t="s">
        <v>24</v>
      </c>
      <c r="S72" s="213" t="s">
        <v>24</v>
      </c>
      <c r="T72" s="213" t="s">
        <v>24</v>
      </c>
      <c r="U72" s="213" t="s">
        <v>24</v>
      </c>
      <c r="V72" s="213" t="s">
        <v>24</v>
      </c>
      <c r="W72" s="213" t="s">
        <v>24</v>
      </c>
      <c r="X72" s="213" t="s">
        <v>24</v>
      </c>
      <c r="Y72" s="213" t="s">
        <v>24</v>
      </c>
      <c r="Z72" s="213" t="s">
        <v>24</v>
      </c>
      <c r="AA72" s="210"/>
      <c r="AB72" s="270" t="s">
        <v>429</v>
      </c>
      <c r="AC72" s="270" t="s">
        <v>430</v>
      </c>
      <c r="AD72" s="270" t="s">
        <v>431</v>
      </c>
      <c r="AE72" s="220" t="s">
        <v>12</v>
      </c>
      <c r="AF72" s="210" t="s">
        <v>4</v>
      </c>
      <c r="AG72" s="291">
        <v>23400</v>
      </c>
      <c r="AH72" s="291">
        <v>53400</v>
      </c>
      <c r="AI72" s="214" t="s">
        <v>6</v>
      </c>
      <c r="AJ72" s="230" t="s">
        <v>104</v>
      </c>
      <c r="AK72" s="210" t="s">
        <v>105</v>
      </c>
      <c r="AL72" s="210" t="s">
        <v>105</v>
      </c>
      <c r="AM72" s="210" t="s">
        <v>105</v>
      </c>
      <c r="AN72" s="210" t="s">
        <v>106</v>
      </c>
      <c r="AO72" s="210"/>
      <c r="AP72" s="219" t="s">
        <v>432</v>
      </c>
      <c r="AQ72" s="210" t="s">
        <v>105</v>
      </c>
      <c r="AR72" s="210" t="s">
        <v>105</v>
      </c>
      <c r="AS72" s="210" t="s">
        <v>105</v>
      </c>
      <c r="AT72" s="210" t="s">
        <v>105</v>
      </c>
      <c r="AU72" s="213">
        <v>44966</v>
      </c>
      <c r="AV72" s="210" t="s">
        <v>105</v>
      </c>
      <c r="AW72" s="210" t="s">
        <v>105</v>
      </c>
      <c r="AX72" s="213">
        <v>45012</v>
      </c>
      <c r="AY72" s="213">
        <v>45012</v>
      </c>
      <c r="AZ72" s="253">
        <v>45055</v>
      </c>
      <c r="BA72" s="220" t="s">
        <v>30</v>
      </c>
      <c r="BB72" s="217" t="s">
        <v>105</v>
      </c>
      <c r="BC72" s="218">
        <f>IF(AY72-ON72=0,"",AY72-O72)</f>
        <v>112</v>
      </c>
      <c r="BD72" s="210" t="str">
        <f t="shared" si="5"/>
        <v>INDENIZAÇÃO</v>
      </c>
      <c r="BE72" s="210" t="str">
        <f t="shared" si="1"/>
        <v>NÃO</v>
      </c>
      <c r="BF72" s="210" t="s">
        <v>24</v>
      </c>
      <c r="BG72" s="210" t="s">
        <v>24</v>
      </c>
      <c r="BH72" s="210" t="s">
        <v>24</v>
      </c>
      <c r="BI72" s="210" t="s">
        <v>105</v>
      </c>
      <c r="BJ72" s="210" t="s">
        <v>105</v>
      </c>
      <c r="BK72" s="253">
        <v>45190</v>
      </c>
      <c r="BL72" s="210" t="s">
        <v>105</v>
      </c>
      <c r="BM72" s="266" t="s">
        <v>105</v>
      </c>
      <c r="BN72" s="210"/>
      <c r="BO72" s="210"/>
      <c r="BP72" s="210"/>
      <c r="BQ72" s="210"/>
      <c r="BR72" s="210"/>
      <c r="BS72" s="210"/>
      <c r="BT72" s="210"/>
      <c r="BU72" s="210"/>
      <c r="BV72" s="210"/>
      <c r="BW72" s="210"/>
      <c r="BX72" s="210"/>
      <c r="BY72" s="210"/>
      <c r="BZ72" s="212"/>
    </row>
    <row r="73" spans="1:120" s="211" customFormat="1" ht="35.25" hidden="1" customHeight="1" x14ac:dyDescent="0.25">
      <c r="A73" s="210">
        <v>60</v>
      </c>
      <c r="B73" s="210" t="s">
        <v>99</v>
      </c>
      <c r="C73" s="220">
        <v>1</v>
      </c>
      <c r="D73" s="210">
        <v>0</v>
      </c>
      <c r="E73" s="210">
        <v>0</v>
      </c>
      <c r="F73" s="270" t="s">
        <v>433</v>
      </c>
      <c r="G73" s="220" t="s">
        <v>1</v>
      </c>
      <c r="H73" s="220" t="s">
        <v>2</v>
      </c>
      <c r="I73" s="210" t="s">
        <v>12</v>
      </c>
      <c r="J73" s="270" t="s">
        <v>434</v>
      </c>
      <c r="K73" s="270" t="s">
        <v>435</v>
      </c>
      <c r="L73" s="270" t="s">
        <v>436</v>
      </c>
      <c r="M73" s="220" t="s">
        <v>4</v>
      </c>
      <c r="N73" s="220" t="s">
        <v>14</v>
      </c>
      <c r="O73" s="213">
        <v>44900</v>
      </c>
      <c r="P73" s="213">
        <v>44921</v>
      </c>
      <c r="Q73" s="213" t="s">
        <v>114</v>
      </c>
      <c r="R73" s="213" t="s">
        <v>105</v>
      </c>
      <c r="S73" s="213" t="s">
        <v>105</v>
      </c>
      <c r="T73" s="213" t="s">
        <v>105</v>
      </c>
      <c r="U73" s="213">
        <v>44992</v>
      </c>
      <c r="V73" s="213" t="s">
        <v>105</v>
      </c>
      <c r="W73" s="213">
        <v>44992</v>
      </c>
      <c r="X73" s="213">
        <v>45019</v>
      </c>
      <c r="Y73" s="213">
        <v>45019</v>
      </c>
      <c r="Z73" s="253">
        <v>45055</v>
      </c>
      <c r="AA73" s="210" t="s">
        <v>115</v>
      </c>
      <c r="AB73" s="270" t="s">
        <v>434</v>
      </c>
      <c r="AC73" s="270" t="s">
        <v>435</v>
      </c>
      <c r="AD73" s="270" t="s">
        <v>437</v>
      </c>
      <c r="AE73" s="220" t="s">
        <v>12</v>
      </c>
      <c r="AF73" s="210" t="s">
        <v>4</v>
      </c>
      <c r="AG73" s="291">
        <v>35800</v>
      </c>
      <c r="AH73" s="291">
        <v>60000</v>
      </c>
      <c r="AI73" s="214" t="s">
        <v>23</v>
      </c>
      <c r="AJ73" s="230" t="s">
        <v>104</v>
      </c>
      <c r="AK73" s="210" t="s">
        <v>105</v>
      </c>
      <c r="AL73" s="210" t="s">
        <v>24</v>
      </c>
      <c r="AM73" s="210" t="s">
        <v>24</v>
      </c>
      <c r="AN73" s="210" t="s">
        <v>24</v>
      </c>
      <c r="AO73" s="210"/>
      <c r="AP73" s="219" t="s">
        <v>24</v>
      </c>
      <c r="AQ73" s="210" t="s">
        <v>24</v>
      </c>
      <c r="AR73" s="210" t="s">
        <v>24</v>
      </c>
      <c r="AS73" s="210" t="s">
        <v>24</v>
      </c>
      <c r="AT73" s="210" t="s">
        <v>24</v>
      </c>
      <c r="AU73" s="210" t="s">
        <v>24</v>
      </c>
      <c r="AV73" s="210" t="s">
        <v>24</v>
      </c>
      <c r="AW73" s="210" t="s">
        <v>24</v>
      </c>
      <c r="AX73" s="213">
        <v>45019</v>
      </c>
      <c r="AY73" s="213">
        <v>45019</v>
      </c>
      <c r="AZ73" s="253">
        <v>45055</v>
      </c>
      <c r="BA73" s="220" t="s">
        <v>30</v>
      </c>
      <c r="BB73" s="217" t="s">
        <v>105</v>
      </c>
      <c r="BC73" s="218">
        <f>IF(AY73-ON73=0,"",AY73-O73)</f>
        <v>119</v>
      </c>
      <c r="BD73" s="210" t="str">
        <f t="shared" si="5"/>
        <v>AA</v>
      </c>
      <c r="BE73" s="210" t="str">
        <f t="shared" si="1"/>
        <v>NÃO</v>
      </c>
      <c r="BF73" s="210" t="s">
        <v>24</v>
      </c>
      <c r="BG73" s="210" t="s">
        <v>24</v>
      </c>
      <c r="BH73" s="210" t="s">
        <v>24</v>
      </c>
      <c r="BI73" s="210" t="s">
        <v>24</v>
      </c>
      <c r="BJ73" s="210" t="s">
        <v>24</v>
      </c>
      <c r="BK73" s="210" t="s">
        <v>24</v>
      </c>
      <c r="BL73" s="210" t="s">
        <v>24</v>
      </c>
      <c r="BM73" s="265" t="s">
        <v>105</v>
      </c>
      <c r="BN73" s="210"/>
      <c r="BO73" s="210"/>
      <c r="BP73" s="210"/>
      <c r="BQ73" s="210"/>
      <c r="BR73" s="210"/>
      <c r="BS73" s="210"/>
      <c r="BT73" s="210"/>
      <c r="BU73" s="210"/>
      <c r="BV73" s="210"/>
      <c r="BW73" s="210"/>
      <c r="BX73" s="210"/>
      <c r="BY73" s="210"/>
      <c r="BZ73" s="212"/>
    </row>
    <row r="74" spans="1:120" s="211" customFormat="1" ht="35.25" customHeight="1" x14ac:dyDescent="0.25">
      <c r="A74" s="210">
        <v>61</v>
      </c>
      <c r="B74" s="210" t="s">
        <v>99</v>
      </c>
      <c r="C74" s="210">
        <v>1</v>
      </c>
      <c r="D74" s="210">
        <v>0</v>
      </c>
      <c r="E74" s="210">
        <v>0</v>
      </c>
      <c r="F74" s="219" t="s">
        <v>438</v>
      </c>
      <c r="G74" s="210" t="s">
        <v>1</v>
      </c>
      <c r="H74" s="210" t="s">
        <v>2</v>
      </c>
      <c r="I74" s="210" t="s">
        <v>121</v>
      </c>
      <c r="J74" s="219" t="s">
        <v>439</v>
      </c>
      <c r="K74" s="219" t="s">
        <v>440</v>
      </c>
      <c r="L74" s="219" t="s">
        <v>441</v>
      </c>
      <c r="M74" s="220" t="s">
        <v>4</v>
      </c>
      <c r="N74" s="220" t="s">
        <v>14</v>
      </c>
      <c r="O74" s="213">
        <v>44900</v>
      </c>
      <c r="P74" s="213">
        <v>44921</v>
      </c>
      <c r="Q74" s="213" t="s">
        <v>114</v>
      </c>
      <c r="R74" s="213" t="s">
        <v>105</v>
      </c>
      <c r="S74" s="213" t="s">
        <v>105</v>
      </c>
      <c r="T74" s="213" t="s">
        <v>105</v>
      </c>
      <c r="U74" s="213">
        <v>44992</v>
      </c>
      <c r="V74" s="213" t="s">
        <v>105</v>
      </c>
      <c r="W74" s="213">
        <v>44992</v>
      </c>
      <c r="X74" s="213">
        <v>45019</v>
      </c>
      <c r="Y74" s="213">
        <v>45070</v>
      </c>
      <c r="Z74" s="253">
        <v>45056</v>
      </c>
      <c r="AA74" s="210" t="s">
        <v>115</v>
      </c>
      <c r="AB74" s="219" t="s">
        <v>442</v>
      </c>
      <c r="AC74" s="219" t="s">
        <v>443</v>
      </c>
      <c r="AD74" s="219" t="s">
        <v>444</v>
      </c>
      <c r="AE74" s="220" t="s">
        <v>3</v>
      </c>
      <c r="AF74" s="210" t="s">
        <v>4</v>
      </c>
      <c r="AG74" s="230">
        <v>37800</v>
      </c>
      <c r="AH74" s="230">
        <v>60000</v>
      </c>
      <c r="AI74" s="214" t="s">
        <v>6</v>
      </c>
      <c r="AJ74" s="230" t="s">
        <v>104</v>
      </c>
      <c r="AK74" s="210" t="s">
        <v>105</v>
      </c>
      <c r="AL74" s="210" t="s">
        <v>105</v>
      </c>
      <c r="AM74" s="210" t="s">
        <v>105</v>
      </c>
      <c r="AN74" s="210" t="s">
        <v>106</v>
      </c>
      <c r="AO74" s="210"/>
      <c r="AP74" s="219" t="s">
        <v>445</v>
      </c>
      <c r="AQ74" s="210" t="s">
        <v>105</v>
      </c>
      <c r="AR74" s="210" t="s">
        <v>105</v>
      </c>
      <c r="AS74" s="210" t="s">
        <v>105</v>
      </c>
      <c r="AT74" s="210" t="s">
        <v>105</v>
      </c>
      <c r="AU74" s="213">
        <v>44922</v>
      </c>
      <c r="AV74" s="210" t="s">
        <v>105</v>
      </c>
      <c r="AW74" s="210" t="s">
        <v>105</v>
      </c>
      <c r="AX74" s="213">
        <v>44924</v>
      </c>
      <c r="AY74" s="213">
        <v>44924</v>
      </c>
      <c r="AZ74" s="253">
        <v>45056</v>
      </c>
      <c r="BA74" s="220" t="s">
        <v>30</v>
      </c>
      <c r="BB74" s="217" t="s">
        <v>105</v>
      </c>
      <c r="BC74" s="218">
        <f>IF(AY74-ON74=0,"",AY74-O74)</f>
        <v>24</v>
      </c>
      <c r="BD74" s="210" t="str">
        <f t="shared" si="5"/>
        <v>INDENIZAÇÃO</v>
      </c>
      <c r="BE74" s="210" t="str">
        <f t="shared" si="1"/>
        <v>NÃO</v>
      </c>
      <c r="BF74" s="210" t="s">
        <v>24</v>
      </c>
      <c r="BG74" s="210" t="s">
        <v>24</v>
      </c>
      <c r="BH74" s="210" t="s">
        <v>24</v>
      </c>
      <c r="BI74" s="210" t="s">
        <v>105</v>
      </c>
      <c r="BJ74" s="210" t="s">
        <v>105</v>
      </c>
      <c r="BK74" s="253">
        <v>45190</v>
      </c>
      <c r="BL74" s="210" t="s">
        <v>105</v>
      </c>
      <c r="BM74" s="266" t="s">
        <v>105</v>
      </c>
      <c r="BN74" s="210"/>
      <c r="BO74" s="210"/>
      <c r="BP74" s="210"/>
      <c r="BQ74" s="210"/>
      <c r="BR74" s="210"/>
      <c r="BS74" s="210"/>
      <c r="BT74" s="210"/>
      <c r="BU74" s="210"/>
      <c r="BV74" s="210"/>
      <c r="BW74" s="210"/>
      <c r="BX74" s="210"/>
      <c r="BY74" s="210"/>
      <c r="BZ74" s="212"/>
    </row>
    <row r="75" spans="1:120" s="211" customFormat="1" ht="35.25" hidden="1" customHeight="1" x14ac:dyDescent="0.25">
      <c r="A75" s="210">
        <v>62</v>
      </c>
      <c r="B75" s="210" t="s">
        <v>99</v>
      </c>
      <c r="C75" s="220">
        <v>1</v>
      </c>
      <c r="D75" s="210">
        <v>0</v>
      </c>
      <c r="E75" s="210">
        <v>0</v>
      </c>
      <c r="F75" s="270" t="s">
        <v>446</v>
      </c>
      <c r="G75" s="220" t="s">
        <v>1</v>
      </c>
      <c r="H75" s="220" t="s">
        <v>2</v>
      </c>
      <c r="I75" s="220" t="s">
        <v>121</v>
      </c>
      <c r="J75" s="270" t="s">
        <v>447</v>
      </c>
      <c r="K75" s="270" t="s">
        <v>448</v>
      </c>
      <c r="L75" s="270" t="s">
        <v>449</v>
      </c>
      <c r="M75" s="220" t="s">
        <v>4</v>
      </c>
      <c r="N75" s="220" t="s">
        <v>14</v>
      </c>
      <c r="O75" s="213">
        <v>44900</v>
      </c>
      <c r="P75" s="213">
        <v>44921</v>
      </c>
      <c r="Q75" s="213" t="s">
        <v>114</v>
      </c>
      <c r="R75" s="213" t="s">
        <v>105</v>
      </c>
      <c r="S75" s="213" t="s">
        <v>105</v>
      </c>
      <c r="T75" s="213" t="s">
        <v>105</v>
      </c>
      <c r="U75" s="213">
        <v>44992</v>
      </c>
      <c r="V75" s="213" t="s">
        <v>105</v>
      </c>
      <c r="W75" s="213">
        <v>44992</v>
      </c>
      <c r="X75" s="213">
        <v>45019</v>
      </c>
      <c r="Y75" s="213">
        <v>45070</v>
      </c>
      <c r="Z75" s="253">
        <v>45056</v>
      </c>
      <c r="AA75" s="210" t="s">
        <v>115</v>
      </c>
      <c r="AB75" s="270" t="s">
        <v>442</v>
      </c>
      <c r="AC75" s="270" t="s">
        <v>443</v>
      </c>
      <c r="AD75" s="270" t="s">
        <v>444</v>
      </c>
      <c r="AE75" s="220" t="s">
        <v>3</v>
      </c>
      <c r="AF75" s="214" t="s">
        <v>24</v>
      </c>
      <c r="AG75" s="291">
        <v>40100</v>
      </c>
      <c r="AH75" s="291">
        <v>60000</v>
      </c>
      <c r="AI75" s="210" t="s">
        <v>450</v>
      </c>
      <c r="AJ75" s="230" t="s">
        <v>104</v>
      </c>
      <c r="AK75" s="214" t="s">
        <v>24</v>
      </c>
      <c r="AL75" s="214" t="s">
        <v>24</v>
      </c>
      <c r="AM75" s="214" t="s">
        <v>24</v>
      </c>
      <c r="AN75" s="214" t="s">
        <v>24</v>
      </c>
      <c r="AO75" s="210" t="s">
        <v>450</v>
      </c>
      <c r="AP75" s="230" t="s">
        <v>24</v>
      </c>
      <c r="AQ75" s="214" t="s">
        <v>24</v>
      </c>
      <c r="AR75" s="214" t="s">
        <v>24</v>
      </c>
      <c r="AS75" s="214" t="s">
        <v>24</v>
      </c>
      <c r="AT75" s="214" t="s">
        <v>24</v>
      </c>
      <c r="AU75" s="214" t="s">
        <v>24</v>
      </c>
      <c r="AV75" s="214" t="s">
        <v>24</v>
      </c>
      <c r="AW75" s="214" t="s">
        <v>24</v>
      </c>
      <c r="AX75" s="214" t="s">
        <v>24</v>
      </c>
      <c r="AY75" s="214" t="s">
        <v>24</v>
      </c>
      <c r="AZ75" s="253">
        <v>45056</v>
      </c>
      <c r="BA75" s="220" t="s">
        <v>30</v>
      </c>
      <c r="BB75" s="217" t="s">
        <v>105</v>
      </c>
      <c r="BC75" s="218" t="s">
        <v>24</v>
      </c>
      <c r="BD75" s="210" t="str">
        <f t="shared" si="5"/>
        <v>INDENIZAÇÃO</v>
      </c>
      <c r="BE75" s="210" t="str">
        <f t="shared" si="1"/>
        <v>NÃO</v>
      </c>
      <c r="BF75" s="210" t="s">
        <v>24</v>
      </c>
      <c r="BG75" s="210" t="s">
        <v>24</v>
      </c>
      <c r="BH75" s="210" t="s">
        <v>24</v>
      </c>
      <c r="BI75" s="210" t="s">
        <v>24</v>
      </c>
      <c r="BJ75" s="210" t="s">
        <v>24</v>
      </c>
      <c r="BK75" s="210" t="s">
        <v>24</v>
      </c>
      <c r="BL75" s="210" t="s">
        <v>24</v>
      </c>
      <c r="BM75" s="251" t="s">
        <v>105</v>
      </c>
      <c r="BN75" s="210"/>
      <c r="BO75" s="210"/>
      <c r="BP75" s="210"/>
      <c r="BQ75" s="210"/>
      <c r="BR75" s="210"/>
      <c r="BS75" s="210"/>
      <c r="BT75" s="210"/>
      <c r="BU75" s="210"/>
      <c r="BV75" s="210"/>
      <c r="BW75" s="210"/>
      <c r="BX75" s="210"/>
      <c r="BY75" s="210"/>
      <c r="BZ75" s="212"/>
    </row>
    <row r="76" spans="1:120" s="211" customFormat="1" ht="35.25" customHeight="1" x14ac:dyDescent="0.25">
      <c r="A76" s="210">
        <v>63</v>
      </c>
      <c r="B76" s="210" t="s">
        <v>99</v>
      </c>
      <c r="C76" s="220">
        <v>1</v>
      </c>
      <c r="D76" s="210">
        <v>0</v>
      </c>
      <c r="E76" s="210">
        <v>0</v>
      </c>
      <c r="F76" s="270" t="s">
        <v>451</v>
      </c>
      <c r="G76" s="220" t="s">
        <v>1</v>
      </c>
      <c r="H76" s="220" t="s">
        <v>2</v>
      </c>
      <c r="I76" s="210" t="s">
        <v>12</v>
      </c>
      <c r="J76" s="270" t="s">
        <v>452</v>
      </c>
      <c r="K76" s="270" t="s">
        <v>453</v>
      </c>
      <c r="L76" s="270" t="s">
        <v>454</v>
      </c>
      <c r="M76" s="220" t="s">
        <v>4</v>
      </c>
      <c r="N76" s="220" t="s">
        <v>5</v>
      </c>
      <c r="O76" s="213">
        <v>44900</v>
      </c>
      <c r="P76" s="213" t="s">
        <v>24</v>
      </c>
      <c r="Q76" s="213" t="s">
        <v>24</v>
      </c>
      <c r="R76" s="213" t="s">
        <v>24</v>
      </c>
      <c r="S76" s="213" t="s">
        <v>24</v>
      </c>
      <c r="T76" s="213" t="s">
        <v>24</v>
      </c>
      <c r="U76" s="213" t="s">
        <v>24</v>
      </c>
      <c r="V76" s="213" t="s">
        <v>24</v>
      </c>
      <c r="W76" s="213" t="s">
        <v>24</v>
      </c>
      <c r="X76" s="213" t="s">
        <v>24</v>
      </c>
      <c r="Y76" s="213" t="s">
        <v>24</v>
      </c>
      <c r="Z76" s="213" t="s">
        <v>24</v>
      </c>
      <c r="AA76" s="210"/>
      <c r="AB76" s="270" t="s">
        <v>452</v>
      </c>
      <c r="AC76" s="270" t="s">
        <v>453</v>
      </c>
      <c r="AD76" s="270" t="s">
        <v>454</v>
      </c>
      <c r="AE76" s="220" t="s">
        <v>12</v>
      </c>
      <c r="AF76" s="210" t="s">
        <v>4</v>
      </c>
      <c r="AG76" s="291">
        <v>12100</v>
      </c>
      <c r="AH76" s="291">
        <v>42100</v>
      </c>
      <c r="AI76" s="214" t="s">
        <v>6</v>
      </c>
      <c r="AJ76" s="230" t="s">
        <v>104</v>
      </c>
      <c r="AK76" s="210" t="s">
        <v>105</v>
      </c>
      <c r="AL76" s="210" t="s">
        <v>105</v>
      </c>
      <c r="AM76" s="210" t="s">
        <v>105</v>
      </c>
      <c r="AN76" s="210" t="s">
        <v>106</v>
      </c>
      <c r="AO76" s="210"/>
      <c r="AP76" s="219" t="s">
        <v>455</v>
      </c>
      <c r="AQ76" s="210" t="s">
        <v>105</v>
      </c>
      <c r="AR76" s="210" t="s">
        <v>105</v>
      </c>
      <c r="AS76" s="210" t="s">
        <v>105</v>
      </c>
      <c r="AT76" s="210" t="s">
        <v>105</v>
      </c>
      <c r="AU76" s="213">
        <v>44922</v>
      </c>
      <c r="AV76" s="210" t="s">
        <v>105</v>
      </c>
      <c r="AW76" s="210" t="s">
        <v>105</v>
      </c>
      <c r="AX76" s="213">
        <v>45020</v>
      </c>
      <c r="AY76" s="213">
        <v>45020</v>
      </c>
      <c r="AZ76" s="253">
        <v>45055</v>
      </c>
      <c r="BA76" s="220" t="s">
        <v>30</v>
      </c>
      <c r="BB76" s="217" t="s">
        <v>105</v>
      </c>
      <c r="BC76" s="218">
        <f t="shared" ref="BC76:BC103" si="7">IF(AY76-ON76=0,"",AY76-O76)</f>
        <v>120</v>
      </c>
      <c r="BD76" s="210" t="str">
        <f t="shared" si="5"/>
        <v>INDENIZAÇÃO</v>
      </c>
      <c r="BE76" s="210" t="str">
        <f t="shared" si="1"/>
        <v>NÃO</v>
      </c>
      <c r="BF76" s="210" t="s">
        <v>24</v>
      </c>
      <c r="BG76" s="210" t="s">
        <v>24</v>
      </c>
      <c r="BH76" s="210" t="s">
        <v>24</v>
      </c>
      <c r="BI76" s="210" t="s">
        <v>105</v>
      </c>
      <c r="BJ76" s="210" t="s">
        <v>105</v>
      </c>
      <c r="BK76" s="253">
        <v>45190</v>
      </c>
      <c r="BL76" s="210" t="s">
        <v>105</v>
      </c>
      <c r="BM76" s="266" t="s">
        <v>105</v>
      </c>
      <c r="BN76" s="210"/>
      <c r="BO76" s="210"/>
      <c r="BP76" s="210"/>
      <c r="BQ76" s="210"/>
      <c r="BR76" s="210"/>
      <c r="BS76" s="210"/>
      <c r="BT76" s="210"/>
      <c r="BU76" s="210"/>
      <c r="BV76" s="210"/>
      <c r="BW76" s="210"/>
      <c r="BX76" s="210"/>
      <c r="BY76" s="210"/>
      <c r="BZ76" s="212"/>
    </row>
    <row r="77" spans="1:120" s="211" customFormat="1" ht="35.25" hidden="1" customHeight="1" x14ac:dyDescent="0.25">
      <c r="A77" s="210">
        <v>64</v>
      </c>
      <c r="B77" s="210" t="s">
        <v>99</v>
      </c>
      <c r="C77" s="220">
        <v>1</v>
      </c>
      <c r="D77" s="210">
        <v>0</v>
      </c>
      <c r="E77" s="210">
        <v>0</v>
      </c>
      <c r="F77" s="270" t="s">
        <v>456</v>
      </c>
      <c r="G77" s="220" t="s">
        <v>1</v>
      </c>
      <c r="H77" s="220" t="s">
        <v>2</v>
      </c>
      <c r="I77" s="210" t="s">
        <v>12</v>
      </c>
      <c r="J77" s="270" t="s">
        <v>457</v>
      </c>
      <c r="K77" s="270" t="s">
        <v>458</v>
      </c>
      <c r="L77" s="270" t="s">
        <v>459</v>
      </c>
      <c r="M77" s="220" t="s">
        <v>4</v>
      </c>
      <c r="N77" s="220" t="s">
        <v>14</v>
      </c>
      <c r="O77" s="213">
        <v>44900</v>
      </c>
      <c r="P77" s="213">
        <v>44921</v>
      </c>
      <c r="Q77" s="213" t="s">
        <v>114</v>
      </c>
      <c r="R77" s="213" t="s">
        <v>105</v>
      </c>
      <c r="S77" s="213" t="s">
        <v>105</v>
      </c>
      <c r="T77" s="213" t="s">
        <v>105</v>
      </c>
      <c r="U77" s="213">
        <v>44992</v>
      </c>
      <c r="V77" s="213" t="s">
        <v>105</v>
      </c>
      <c r="W77" s="213">
        <v>44992</v>
      </c>
      <c r="X77" s="213">
        <v>45019</v>
      </c>
      <c r="Y77" s="213">
        <v>45021</v>
      </c>
      <c r="Z77" s="253">
        <v>45055</v>
      </c>
      <c r="AA77" s="210" t="s">
        <v>115</v>
      </c>
      <c r="AB77" s="270" t="s">
        <v>457</v>
      </c>
      <c r="AC77" s="270" t="s">
        <v>458</v>
      </c>
      <c r="AD77" s="270" t="s">
        <v>459</v>
      </c>
      <c r="AE77" s="220" t="s">
        <v>12</v>
      </c>
      <c r="AF77" s="210" t="s">
        <v>4</v>
      </c>
      <c r="AG77" s="291">
        <v>19600</v>
      </c>
      <c r="AH77" s="291">
        <v>49600</v>
      </c>
      <c r="AI77" s="214" t="s">
        <v>23</v>
      </c>
      <c r="AJ77" s="230" t="s">
        <v>104</v>
      </c>
      <c r="AK77" s="210" t="s">
        <v>105</v>
      </c>
      <c r="AL77" s="210" t="s">
        <v>24</v>
      </c>
      <c r="AM77" s="210" t="s">
        <v>24</v>
      </c>
      <c r="AN77" s="210" t="s">
        <v>24</v>
      </c>
      <c r="AO77" s="210"/>
      <c r="AP77" s="219" t="s">
        <v>24</v>
      </c>
      <c r="AQ77" s="210" t="s">
        <v>24</v>
      </c>
      <c r="AR77" s="210" t="s">
        <v>24</v>
      </c>
      <c r="AS77" s="210" t="s">
        <v>24</v>
      </c>
      <c r="AT77" s="210" t="s">
        <v>24</v>
      </c>
      <c r="AU77" s="210" t="s">
        <v>24</v>
      </c>
      <c r="AV77" s="210" t="s">
        <v>24</v>
      </c>
      <c r="AW77" s="210" t="s">
        <v>24</v>
      </c>
      <c r="AX77" s="213">
        <v>45019</v>
      </c>
      <c r="AY77" s="213">
        <v>45021</v>
      </c>
      <c r="AZ77" s="253">
        <v>45055</v>
      </c>
      <c r="BA77" s="220" t="s">
        <v>30</v>
      </c>
      <c r="BB77" s="217" t="s">
        <v>105</v>
      </c>
      <c r="BC77" s="218">
        <f t="shared" si="7"/>
        <v>121</v>
      </c>
      <c r="BD77" s="210" t="str">
        <f t="shared" si="5"/>
        <v>AA</v>
      </c>
      <c r="BE77" s="210" t="str">
        <f t="shared" si="1"/>
        <v>NÃO</v>
      </c>
      <c r="BF77" s="210" t="s">
        <v>24</v>
      </c>
      <c r="BG77" s="210" t="s">
        <v>24</v>
      </c>
      <c r="BH77" s="210" t="s">
        <v>24</v>
      </c>
      <c r="BI77" s="210" t="s">
        <v>24</v>
      </c>
      <c r="BJ77" s="210" t="s">
        <v>24</v>
      </c>
      <c r="BK77" s="210" t="s">
        <v>24</v>
      </c>
      <c r="BL77" s="210" t="s">
        <v>24</v>
      </c>
      <c r="BM77" s="265" t="s">
        <v>105</v>
      </c>
      <c r="BN77" s="210"/>
      <c r="BO77" s="210"/>
      <c r="BP77" s="210"/>
      <c r="BQ77" s="210"/>
      <c r="BR77" s="210"/>
      <c r="BS77" s="210"/>
      <c r="BT77" s="210"/>
      <c r="BU77" s="210"/>
      <c r="BV77" s="210"/>
      <c r="BW77" s="210"/>
      <c r="BX77" s="210"/>
      <c r="BY77" s="210"/>
      <c r="BZ77" s="212"/>
    </row>
    <row r="78" spans="1:120" s="211" customFormat="1" ht="35.25" customHeight="1" x14ac:dyDescent="0.25">
      <c r="A78" s="210">
        <v>65</v>
      </c>
      <c r="B78" s="210" t="s">
        <v>99</v>
      </c>
      <c r="C78" s="210">
        <v>1</v>
      </c>
      <c r="D78" s="210">
        <v>0</v>
      </c>
      <c r="E78" s="210">
        <v>0</v>
      </c>
      <c r="F78" s="219" t="s">
        <v>460</v>
      </c>
      <c r="G78" s="210" t="s">
        <v>138</v>
      </c>
      <c r="H78" s="210" t="s">
        <v>2</v>
      </c>
      <c r="I78" s="210" t="s">
        <v>24</v>
      </c>
      <c r="J78" s="219" t="s">
        <v>139</v>
      </c>
      <c r="K78" s="219" t="s">
        <v>139</v>
      </c>
      <c r="L78" s="219" t="s">
        <v>139</v>
      </c>
      <c r="M78" s="220" t="s">
        <v>24</v>
      </c>
      <c r="N78" s="220" t="s">
        <v>312</v>
      </c>
      <c r="O78" s="213">
        <v>44900</v>
      </c>
      <c r="P78" s="213" t="s">
        <v>24</v>
      </c>
      <c r="Q78" s="213" t="s">
        <v>24</v>
      </c>
      <c r="R78" s="213" t="s">
        <v>24</v>
      </c>
      <c r="S78" s="213" t="s">
        <v>24</v>
      </c>
      <c r="T78" s="213" t="s">
        <v>24</v>
      </c>
      <c r="U78" s="213" t="s">
        <v>24</v>
      </c>
      <c r="V78" s="213" t="s">
        <v>24</v>
      </c>
      <c r="W78" s="213" t="s">
        <v>24</v>
      </c>
      <c r="X78" s="213" t="s">
        <v>24</v>
      </c>
      <c r="Y78" s="213" t="s">
        <v>24</v>
      </c>
      <c r="Z78" s="213" t="s">
        <v>24</v>
      </c>
      <c r="AA78" s="210"/>
      <c r="AB78" s="219" t="s">
        <v>461</v>
      </c>
      <c r="AC78" s="219" t="s">
        <v>462</v>
      </c>
      <c r="AD78" s="219" t="s">
        <v>463</v>
      </c>
      <c r="AE78" s="220" t="s">
        <v>3</v>
      </c>
      <c r="AF78" s="210" t="s">
        <v>4</v>
      </c>
      <c r="AG78" s="230">
        <v>8500</v>
      </c>
      <c r="AH78" s="230">
        <v>38500</v>
      </c>
      <c r="AI78" s="214" t="s">
        <v>6</v>
      </c>
      <c r="AJ78" s="230" t="s">
        <v>104</v>
      </c>
      <c r="AK78" s="210" t="s">
        <v>105</v>
      </c>
      <c r="AL78" s="210" t="s">
        <v>105</v>
      </c>
      <c r="AM78" s="210" t="s">
        <v>105</v>
      </c>
      <c r="AN78" s="210" t="s">
        <v>106</v>
      </c>
      <c r="AO78" s="210"/>
      <c r="AP78" s="219" t="s">
        <v>464</v>
      </c>
      <c r="AQ78" s="210" t="s">
        <v>105</v>
      </c>
      <c r="AR78" s="210" t="s">
        <v>105</v>
      </c>
      <c r="AS78" s="210" t="s">
        <v>105</v>
      </c>
      <c r="AT78" s="210" t="s">
        <v>105</v>
      </c>
      <c r="AU78" s="213">
        <v>44966</v>
      </c>
      <c r="AV78" s="210" t="s">
        <v>105</v>
      </c>
      <c r="AW78" s="210" t="s">
        <v>105</v>
      </c>
      <c r="AX78" s="213">
        <v>45012</v>
      </c>
      <c r="AY78" s="213">
        <v>45012</v>
      </c>
      <c r="AZ78" s="253">
        <v>45055</v>
      </c>
      <c r="BA78" s="220" t="s">
        <v>30</v>
      </c>
      <c r="BB78" s="217" t="s">
        <v>105</v>
      </c>
      <c r="BC78" s="218">
        <f t="shared" si="7"/>
        <v>112</v>
      </c>
      <c r="BD78" s="210" t="str">
        <f t="shared" ref="BD78:BD109" si="8">IF(AND(AI78&lt;&gt;"SIM",AI78="UH"),"AA","INDENIZAÇÃO")</f>
        <v>INDENIZAÇÃO</v>
      </c>
      <c r="BE78" s="210" t="str">
        <f t="shared" ref="BE78:BE141" si="9">IF(AND(AY78&lt;&gt;"AGUARDANDO",AY78&lt;&gt;"",N78="AUXÍLIO ALUGUEL ATÉ INDENIZAÇÃO"),"SIM","NÃO")</f>
        <v>NÃO</v>
      </c>
      <c r="BF78" s="210" t="s">
        <v>24</v>
      </c>
      <c r="BG78" s="210" t="s">
        <v>24</v>
      </c>
      <c r="BH78" s="210" t="s">
        <v>24</v>
      </c>
      <c r="BI78" s="210" t="s">
        <v>105</v>
      </c>
      <c r="BJ78" s="210" t="s">
        <v>105</v>
      </c>
      <c r="BK78" s="253">
        <v>45190</v>
      </c>
      <c r="BL78" s="210" t="s">
        <v>105</v>
      </c>
      <c r="BM78" s="266" t="s">
        <v>105</v>
      </c>
      <c r="BN78" s="210"/>
      <c r="BO78" s="210"/>
      <c r="BP78" s="210"/>
      <c r="BQ78" s="210"/>
      <c r="BR78" s="210"/>
      <c r="BS78" s="210"/>
      <c r="BT78" s="210"/>
      <c r="BU78" s="210"/>
      <c r="BV78" s="210"/>
      <c r="BW78" s="210"/>
      <c r="BX78" s="210"/>
      <c r="BY78" s="210"/>
      <c r="BZ78" s="212"/>
    </row>
    <row r="79" spans="1:120" s="211" customFormat="1" ht="35.25" hidden="1" customHeight="1" x14ac:dyDescent="0.25">
      <c r="A79" s="210">
        <v>66</v>
      </c>
      <c r="B79" s="277" t="s">
        <v>99</v>
      </c>
      <c r="C79" s="277">
        <v>3</v>
      </c>
      <c r="D79" s="277">
        <v>0</v>
      </c>
      <c r="E79" s="277">
        <v>0</v>
      </c>
      <c r="F79" s="276" t="s">
        <v>465</v>
      </c>
      <c r="G79" s="277" t="s">
        <v>1</v>
      </c>
      <c r="H79" s="277" t="s">
        <v>2</v>
      </c>
      <c r="I79" s="277" t="s">
        <v>139</v>
      </c>
      <c r="J79" s="276" t="s">
        <v>466</v>
      </c>
      <c r="K79" s="276" t="s">
        <v>139</v>
      </c>
      <c r="L79" s="276" t="s">
        <v>139</v>
      </c>
      <c r="M79" s="277"/>
      <c r="N79" s="277" t="s">
        <v>467</v>
      </c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77"/>
      <c r="AB79" s="276" t="s">
        <v>139</v>
      </c>
      <c r="AC79" s="276" t="s">
        <v>139</v>
      </c>
      <c r="AD79" s="276" t="s">
        <v>139</v>
      </c>
      <c r="AE79" s="277" t="s">
        <v>139</v>
      </c>
      <c r="AF79" s="277"/>
      <c r="AG79" s="292" t="s">
        <v>139</v>
      </c>
      <c r="AH79" s="292" t="s">
        <v>139</v>
      </c>
      <c r="AI79" s="277" t="s">
        <v>467</v>
      </c>
      <c r="AJ79" s="230" t="s">
        <v>104</v>
      </c>
      <c r="AK79" s="277"/>
      <c r="AL79" s="277"/>
      <c r="AM79" s="277"/>
      <c r="AN79" s="277"/>
      <c r="AO79" s="255" t="s">
        <v>467</v>
      </c>
      <c r="AP79" s="276"/>
      <c r="AQ79" s="277"/>
      <c r="AR79" s="277"/>
      <c r="AS79" s="277"/>
      <c r="AT79" s="277"/>
      <c r="AU79" s="301"/>
      <c r="AV79" s="301"/>
      <c r="AW79" s="277"/>
      <c r="AX79" s="256"/>
      <c r="AY79" s="301"/>
      <c r="AZ79" s="256"/>
      <c r="BA79" s="277"/>
      <c r="BB79" s="277" t="s">
        <v>467</v>
      </c>
      <c r="BC79" s="218" t="str">
        <f t="shared" si="7"/>
        <v/>
      </c>
      <c r="BD79" s="210" t="str">
        <f t="shared" si="8"/>
        <v>INDENIZAÇÃO</v>
      </c>
      <c r="BE79" s="210" t="str">
        <f t="shared" si="9"/>
        <v>NÃO</v>
      </c>
      <c r="BF79" s="277"/>
      <c r="BG79" s="277"/>
      <c r="BH79" s="277"/>
      <c r="BI79" s="277"/>
      <c r="BJ79" s="277"/>
      <c r="BK79" s="277"/>
      <c r="BL79" s="277"/>
      <c r="BM79" s="277"/>
      <c r="BN79" s="210"/>
      <c r="BO79" s="210"/>
      <c r="BP79" s="210"/>
      <c r="BQ79" s="210"/>
      <c r="BR79" s="210"/>
      <c r="BS79" s="210"/>
      <c r="BT79" s="210"/>
      <c r="BU79" s="210"/>
      <c r="BV79" s="210"/>
      <c r="BW79" s="210"/>
      <c r="BX79" s="210"/>
      <c r="BY79" s="210"/>
      <c r="BZ79" s="212"/>
    </row>
    <row r="80" spans="1:120" s="211" customFormat="1" ht="35.25" hidden="1" customHeight="1" x14ac:dyDescent="0.25">
      <c r="A80" s="210">
        <v>67</v>
      </c>
      <c r="B80" s="277" t="s">
        <v>99</v>
      </c>
      <c r="C80" s="277">
        <v>3</v>
      </c>
      <c r="D80" s="277">
        <v>0</v>
      </c>
      <c r="E80" s="277">
        <v>0</v>
      </c>
      <c r="F80" s="276" t="s">
        <v>468</v>
      </c>
      <c r="G80" s="277" t="s">
        <v>1</v>
      </c>
      <c r="H80" s="277" t="s">
        <v>2</v>
      </c>
      <c r="I80" s="277" t="s">
        <v>139</v>
      </c>
      <c r="J80" s="276" t="s">
        <v>469</v>
      </c>
      <c r="K80" s="276" t="s">
        <v>139</v>
      </c>
      <c r="L80" s="276" t="s">
        <v>139</v>
      </c>
      <c r="M80" s="277"/>
      <c r="N80" s="277" t="s">
        <v>467</v>
      </c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77"/>
      <c r="AB80" s="276" t="s">
        <v>139</v>
      </c>
      <c r="AC80" s="276" t="s">
        <v>139</v>
      </c>
      <c r="AD80" s="276" t="s">
        <v>139</v>
      </c>
      <c r="AE80" s="277" t="s">
        <v>139</v>
      </c>
      <c r="AF80" s="277"/>
      <c r="AG80" s="292" t="s">
        <v>139</v>
      </c>
      <c r="AH80" s="292" t="s">
        <v>139</v>
      </c>
      <c r="AI80" s="277" t="s">
        <v>467</v>
      </c>
      <c r="AJ80" s="230" t="s">
        <v>104</v>
      </c>
      <c r="AK80" s="277"/>
      <c r="AL80" s="277"/>
      <c r="AM80" s="277"/>
      <c r="AN80" s="277"/>
      <c r="AO80" s="255" t="s">
        <v>467</v>
      </c>
      <c r="AP80" s="302"/>
      <c r="AQ80" s="277"/>
      <c r="AR80" s="277"/>
      <c r="AS80" s="277"/>
      <c r="AT80" s="277"/>
      <c r="AU80" s="301"/>
      <c r="AV80" s="277"/>
      <c r="AW80" s="277"/>
      <c r="AX80" s="256"/>
      <c r="AY80" s="301"/>
      <c r="AZ80" s="256"/>
      <c r="BA80" s="277"/>
      <c r="BB80" s="277" t="s">
        <v>467</v>
      </c>
      <c r="BC80" s="218" t="str">
        <f t="shared" si="7"/>
        <v/>
      </c>
      <c r="BD80" s="210" t="str">
        <f t="shared" si="8"/>
        <v>INDENIZAÇÃO</v>
      </c>
      <c r="BE80" s="210" t="str">
        <f t="shared" si="9"/>
        <v>NÃO</v>
      </c>
      <c r="BF80" s="277"/>
      <c r="BG80" s="277"/>
      <c r="BH80" s="277"/>
      <c r="BI80" s="277"/>
      <c r="BJ80" s="277"/>
      <c r="BK80" s="277"/>
      <c r="BL80" s="277"/>
      <c r="BM80" s="277"/>
      <c r="BN80" s="210"/>
      <c r="BO80" s="210"/>
      <c r="BP80" s="210"/>
      <c r="BQ80" s="210"/>
      <c r="BR80" s="210"/>
      <c r="BS80" s="210"/>
      <c r="BT80" s="210"/>
      <c r="BU80" s="210"/>
      <c r="BV80" s="210"/>
      <c r="BW80" s="210"/>
      <c r="BX80" s="210"/>
      <c r="BY80" s="210"/>
      <c r="BZ80" s="212"/>
    </row>
    <row r="81" spans="1:162" s="211" customFormat="1" ht="35.25" hidden="1" customHeight="1" x14ac:dyDescent="0.25">
      <c r="A81" s="210">
        <v>68</v>
      </c>
      <c r="B81" s="277" t="s">
        <v>99</v>
      </c>
      <c r="C81" s="277">
        <v>3</v>
      </c>
      <c r="D81" s="277">
        <v>0</v>
      </c>
      <c r="E81" s="277">
        <v>0</v>
      </c>
      <c r="F81" s="276" t="s">
        <v>470</v>
      </c>
      <c r="G81" s="277" t="s">
        <v>1</v>
      </c>
      <c r="H81" s="277" t="s">
        <v>366</v>
      </c>
      <c r="I81" s="277" t="s">
        <v>139</v>
      </c>
      <c r="J81" s="276" t="s">
        <v>471</v>
      </c>
      <c r="K81" s="276" t="s">
        <v>139</v>
      </c>
      <c r="L81" s="276" t="s">
        <v>139</v>
      </c>
      <c r="M81" s="277"/>
      <c r="N81" s="277" t="s">
        <v>467</v>
      </c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77"/>
      <c r="AB81" s="276" t="s">
        <v>139</v>
      </c>
      <c r="AC81" s="276" t="s">
        <v>139</v>
      </c>
      <c r="AD81" s="276" t="s">
        <v>139</v>
      </c>
      <c r="AE81" s="277" t="s">
        <v>139</v>
      </c>
      <c r="AF81" s="277"/>
      <c r="AG81" s="292" t="s">
        <v>139</v>
      </c>
      <c r="AH81" s="292" t="s">
        <v>139</v>
      </c>
      <c r="AI81" s="277" t="s">
        <v>467</v>
      </c>
      <c r="AJ81" s="230" t="s">
        <v>104</v>
      </c>
      <c r="AK81" s="277"/>
      <c r="AL81" s="277"/>
      <c r="AM81" s="277"/>
      <c r="AN81" s="277"/>
      <c r="AO81" s="255" t="s">
        <v>467</v>
      </c>
      <c r="AP81" s="302"/>
      <c r="AQ81" s="277"/>
      <c r="AR81" s="277"/>
      <c r="AS81" s="277"/>
      <c r="AT81" s="277"/>
      <c r="AU81" s="301"/>
      <c r="AV81" s="277"/>
      <c r="AW81" s="277"/>
      <c r="AX81" s="256"/>
      <c r="AY81" s="301"/>
      <c r="AZ81" s="256"/>
      <c r="BA81" s="277"/>
      <c r="BB81" s="277" t="s">
        <v>467</v>
      </c>
      <c r="BC81" s="218" t="str">
        <f t="shared" si="7"/>
        <v/>
      </c>
      <c r="BD81" s="210" t="str">
        <f t="shared" si="8"/>
        <v>INDENIZAÇÃO</v>
      </c>
      <c r="BE81" s="210" t="str">
        <f t="shared" si="9"/>
        <v>NÃO</v>
      </c>
      <c r="BF81" s="277"/>
      <c r="BG81" s="277"/>
      <c r="BH81" s="277"/>
      <c r="BI81" s="277"/>
      <c r="BJ81" s="277"/>
      <c r="BK81" s="277"/>
      <c r="BL81" s="277"/>
      <c r="BM81" s="277"/>
      <c r="BN81" s="210"/>
      <c r="BO81" s="210"/>
      <c r="BP81" s="210"/>
      <c r="BQ81" s="210"/>
      <c r="BR81" s="210"/>
      <c r="BS81" s="210"/>
      <c r="BT81" s="210"/>
      <c r="BU81" s="210"/>
      <c r="BV81" s="210"/>
      <c r="BW81" s="210"/>
      <c r="BX81" s="210"/>
      <c r="BY81" s="210"/>
      <c r="BZ81" s="212"/>
    </row>
    <row r="82" spans="1:162" s="211" customFormat="1" ht="35.25" hidden="1" customHeight="1" x14ac:dyDescent="0.25">
      <c r="A82" s="210">
        <v>69</v>
      </c>
      <c r="B82" s="277" t="s">
        <v>99</v>
      </c>
      <c r="C82" s="277">
        <v>3</v>
      </c>
      <c r="D82" s="277">
        <v>0</v>
      </c>
      <c r="E82" s="277">
        <v>0</v>
      </c>
      <c r="F82" s="276" t="s">
        <v>472</v>
      </c>
      <c r="G82" s="277" t="s">
        <v>1</v>
      </c>
      <c r="H82" s="277" t="s">
        <v>2</v>
      </c>
      <c r="I82" s="277" t="s">
        <v>473</v>
      </c>
      <c r="J82" s="276" t="s">
        <v>139</v>
      </c>
      <c r="K82" s="276" t="s">
        <v>139</v>
      </c>
      <c r="L82" s="276" t="s">
        <v>139</v>
      </c>
      <c r="M82" s="277"/>
      <c r="N82" s="277" t="s">
        <v>467</v>
      </c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77"/>
      <c r="AB82" s="276" t="s">
        <v>139</v>
      </c>
      <c r="AC82" s="276" t="s">
        <v>139</v>
      </c>
      <c r="AD82" s="276" t="s">
        <v>139</v>
      </c>
      <c r="AE82" s="277" t="s">
        <v>139</v>
      </c>
      <c r="AF82" s="277"/>
      <c r="AG82" s="292" t="s">
        <v>139</v>
      </c>
      <c r="AH82" s="292" t="s">
        <v>139</v>
      </c>
      <c r="AI82" s="277" t="s">
        <v>467</v>
      </c>
      <c r="AJ82" s="230" t="s">
        <v>104</v>
      </c>
      <c r="AK82" s="277"/>
      <c r="AL82" s="277"/>
      <c r="AM82" s="277"/>
      <c r="AN82" s="277"/>
      <c r="AO82" s="255" t="s">
        <v>467</v>
      </c>
      <c r="AP82" s="276"/>
      <c r="AQ82" s="277"/>
      <c r="AR82" s="277"/>
      <c r="AS82" s="277"/>
      <c r="AT82" s="277"/>
      <c r="AU82" s="277"/>
      <c r="AV82" s="277"/>
      <c r="AW82" s="277"/>
      <c r="AX82" s="256"/>
      <c r="AY82" s="277"/>
      <c r="AZ82" s="256"/>
      <c r="BA82" s="277"/>
      <c r="BB82" s="277" t="s">
        <v>467</v>
      </c>
      <c r="BC82" s="218" t="str">
        <f t="shared" si="7"/>
        <v/>
      </c>
      <c r="BD82" s="210" t="str">
        <f t="shared" si="8"/>
        <v>INDENIZAÇÃO</v>
      </c>
      <c r="BE82" s="210" t="str">
        <f t="shared" si="9"/>
        <v>NÃO</v>
      </c>
      <c r="BF82" s="277"/>
      <c r="BG82" s="277"/>
      <c r="BH82" s="277"/>
      <c r="BI82" s="277"/>
      <c r="BJ82" s="277"/>
      <c r="BK82" s="277"/>
      <c r="BL82" s="277"/>
      <c r="BM82" s="277"/>
      <c r="BN82" s="210"/>
      <c r="BO82" s="210"/>
      <c r="BP82" s="210"/>
      <c r="BQ82" s="210"/>
      <c r="BR82" s="210"/>
      <c r="BS82" s="210"/>
      <c r="BT82" s="210"/>
      <c r="BU82" s="210"/>
      <c r="BV82" s="210"/>
      <c r="BW82" s="210"/>
      <c r="BX82" s="210"/>
      <c r="BY82" s="210"/>
      <c r="BZ82" s="212"/>
    </row>
    <row r="83" spans="1:162" s="211" customFormat="1" ht="35.25" hidden="1" customHeight="1" x14ac:dyDescent="0.25">
      <c r="A83" s="210">
        <v>70</v>
      </c>
      <c r="B83" s="277" t="s">
        <v>99</v>
      </c>
      <c r="C83" s="277">
        <v>3</v>
      </c>
      <c r="D83" s="277">
        <v>0</v>
      </c>
      <c r="E83" s="277">
        <v>0</v>
      </c>
      <c r="F83" s="276" t="s">
        <v>474</v>
      </c>
      <c r="G83" s="277" t="s">
        <v>1</v>
      </c>
      <c r="H83" s="277" t="s">
        <v>2</v>
      </c>
      <c r="I83" s="277" t="s">
        <v>121</v>
      </c>
      <c r="J83" s="276" t="s">
        <v>475</v>
      </c>
      <c r="K83" s="276" t="s">
        <v>476</v>
      </c>
      <c r="L83" s="276" t="s">
        <v>477</v>
      </c>
      <c r="M83" s="277"/>
      <c r="N83" s="277" t="s">
        <v>467</v>
      </c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77"/>
      <c r="AB83" s="276" t="s">
        <v>478</v>
      </c>
      <c r="AC83" s="276" t="s">
        <v>479</v>
      </c>
      <c r="AD83" s="276" t="s">
        <v>480</v>
      </c>
      <c r="AE83" s="277" t="s">
        <v>3</v>
      </c>
      <c r="AF83" s="277"/>
      <c r="AG83" s="292"/>
      <c r="AH83" s="292"/>
      <c r="AI83" s="277" t="s">
        <v>467</v>
      </c>
      <c r="AJ83" s="230" t="s">
        <v>104</v>
      </c>
      <c r="AK83" s="277"/>
      <c r="AL83" s="277"/>
      <c r="AM83" s="277"/>
      <c r="AN83" s="277"/>
      <c r="AO83" s="255" t="s">
        <v>467</v>
      </c>
      <c r="AP83" s="276"/>
      <c r="AQ83" s="277"/>
      <c r="AR83" s="277"/>
      <c r="AS83" s="277"/>
      <c r="AT83" s="277"/>
      <c r="AU83" s="277"/>
      <c r="AV83" s="277"/>
      <c r="AW83" s="277"/>
      <c r="AX83" s="256"/>
      <c r="AY83" s="277"/>
      <c r="AZ83" s="256"/>
      <c r="BA83" s="277"/>
      <c r="BB83" s="277" t="s">
        <v>467</v>
      </c>
      <c r="BC83" s="218" t="str">
        <f t="shared" si="7"/>
        <v/>
      </c>
      <c r="BD83" s="210" t="str">
        <f t="shared" si="8"/>
        <v>INDENIZAÇÃO</v>
      </c>
      <c r="BE83" s="210" t="str">
        <f t="shared" si="9"/>
        <v>NÃO</v>
      </c>
      <c r="BF83" s="277"/>
      <c r="BG83" s="277"/>
      <c r="BH83" s="277"/>
      <c r="BI83" s="277"/>
      <c r="BJ83" s="277"/>
      <c r="BK83" s="277"/>
      <c r="BL83" s="277"/>
      <c r="BM83" s="277"/>
      <c r="BN83" s="210"/>
      <c r="BO83" s="210"/>
      <c r="BP83" s="210"/>
      <c r="BQ83" s="210"/>
      <c r="BR83" s="210"/>
      <c r="BS83" s="210"/>
      <c r="BT83" s="210"/>
      <c r="BU83" s="210"/>
      <c r="BV83" s="210"/>
      <c r="BW83" s="210"/>
      <c r="BX83" s="210"/>
      <c r="BY83" s="210"/>
      <c r="BZ83" s="212"/>
    </row>
    <row r="84" spans="1:162" s="211" customFormat="1" ht="35.25" hidden="1" customHeight="1" x14ac:dyDescent="0.25">
      <c r="A84" s="210">
        <v>71</v>
      </c>
      <c r="B84" s="210" t="s">
        <v>99</v>
      </c>
      <c r="C84" s="210">
        <v>3</v>
      </c>
      <c r="D84" s="210">
        <v>0</v>
      </c>
      <c r="E84" s="210">
        <v>0</v>
      </c>
      <c r="F84" s="270" t="s">
        <v>481</v>
      </c>
      <c r="G84" s="220" t="s">
        <v>1</v>
      </c>
      <c r="H84" s="220" t="s">
        <v>2</v>
      </c>
      <c r="I84" s="210" t="s">
        <v>12</v>
      </c>
      <c r="J84" s="270" t="s">
        <v>482</v>
      </c>
      <c r="K84" s="270" t="s">
        <v>483</v>
      </c>
      <c r="L84" s="270" t="s">
        <v>484</v>
      </c>
      <c r="M84" s="210" t="s">
        <v>4</v>
      </c>
      <c r="N84" s="220" t="s">
        <v>5</v>
      </c>
      <c r="O84" s="213">
        <v>45467</v>
      </c>
      <c r="P84" s="213" t="s">
        <v>24</v>
      </c>
      <c r="Q84" s="213" t="s">
        <v>24</v>
      </c>
      <c r="R84" s="213" t="s">
        <v>24</v>
      </c>
      <c r="S84" s="213" t="s">
        <v>24</v>
      </c>
      <c r="T84" s="213" t="s">
        <v>24</v>
      </c>
      <c r="U84" s="213" t="s">
        <v>24</v>
      </c>
      <c r="V84" s="213" t="s">
        <v>24</v>
      </c>
      <c r="W84" s="213" t="s">
        <v>24</v>
      </c>
      <c r="X84" s="213" t="s">
        <v>24</v>
      </c>
      <c r="Y84" s="213" t="s">
        <v>24</v>
      </c>
      <c r="Z84" s="213" t="s">
        <v>24</v>
      </c>
      <c r="AA84" s="210"/>
      <c r="AB84" s="270" t="s">
        <v>482</v>
      </c>
      <c r="AC84" s="270" t="s">
        <v>483</v>
      </c>
      <c r="AD84" s="270" t="s">
        <v>484</v>
      </c>
      <c r="AE84" s="220" t="s">
        <v>12</v>
      </c>
      <c r="AF84" s="210" t="s">
        <v>4</v>
      </c>
      <c r="AG84" s="291">
        <v>96200</v>
      </c>
      <c r="AH84" s="291">
        <v>96200</v>
      </c>
      <c r="AI84" s="210" t="s">
        <v>6</v>
      </c>
      <c r="AJ84" s="230" t="s">
        <v>104</v>
      </c>
      <c r="AK84" s="210" t="s">
        <v>105</v>
      </c>
      <c r="AL84" s="210" t="s">
        <v>105</v>
      </c>
      <c r="AM84" s="210" t="s">
        <v>105</v>
      </c>
      <c r="AN84" s="232" t="s">
        <v>106</v>
      </c>
      <c r="AO84" s="210"/>
      <c r="AP84" s="219" t="s">
        <v>485</v>
      </c>
      <c r="AQ84" s="235" t="s">
        <v>486</v>
      </c>
      <c r="AR84" s="235"/>
      <c r="AS84" s="235"/>
      <c r="AT84" s="235"/>
      <c r="AU84" s="235"/>
      <c r="AV84" s="235"/>
      <c r="AW84" s="235"/>
      <c r="AX84" s="236"/>
      <c r="AY84" s="236"/>
      <c r="AZ84" s="236"/>
      <c r="BA84" s="235" t="s">
        <v>1</v>
      </c>
      <c r="BB84" s="217"/>
      <c r="BC84" s="218" t="str">
        <f t="shared" si="7"/>
        <v/>
      </c>
      <c r="BD84" s="210" t="str">
        <f t="shared" si="8"/>
        <v>INDENIZAÇÃO</v>
      </c>
      <c r="BE84" s="210" t="str">
        <f t="shared" si="9"/>
        <v>NÃO</v>
      </c>
      <c r="BF84" s="210"/>
      <c r="BG84" s="210"/>
      <c r="BH84" s="210"/>
      <c r="BI84" s="210"/>
      <c r="BJ84" s="210"/>
      <c r="BK84" s="210"/>
      <c r="BL84" s="210"/>
      <c r="BM84" s="210"/>
      <c r="BN84" s="210"/>
      <c r="BO84" s="210"/>
      <c r="BP84" s="210"/>
      <c r="BQ84" s="210"/>
      <c r="BR84" s="210"/>
      <c r="BS84" s="210"/>
      <c r="BT84" s="210"/>
      <c r="BU84" s="210"/>
      <c r="BV84" s="210"/>
      <c r="BW84" s="210"/>
      <c r="BX84" s="210"/>
      <c r="BY84" s="210"/>
      <c r="BZ84" s="212"/>
    </row>
    <row r="85" spans="1:162" s="211" customFormat="1" ht="35.25" hidden="1" customHeight="1" x14ac:dyDescent="0.25">
      <c r="A85" s="210">
        <v>72</v>
      </c>
      <c r="B85" s="210" t="s">
        <v>99</v>
      </c>
      <c r="C85" s="210">
        <v>3</v>
      </c>
      <c r="D85" s="210">
        <v>0</v>
      </c>
      <c r="E85" s="210">
        <v>0</v>
      </c>
      <c r="F85" s="270" t="s">
        <v>487</v>
      </c>
      <c r="G85" s="220" t="s">
        <v>1</v>
      </c>
      <c r="H85" s="220" t="s">
        <v>2</v>
      </c>
      <c r="I85" s="210" t="s">
        <v>12</v>
      </c>
      <c r="J85" s="270" t="s">
        <v>488</v>
      </c>
      <c r="K85" s="270" t="s">
        <v>489</v>
      </c>
      <c r="L85" s="270" t="s">
        <v>490</v>
      </c>
      <c r="M85" s="220" t="s">
        <v>4</v>
      </c>
      <c r="N85" s="220" t="s">
        <v>5</v>
      </c>
      <c r="O85" s="213">
        <v>45433</v>
      </c>
      <c r="P85" s="213" t="s">
        <v>24</v>
      </c>
      <c r="Q85" s="213" t="s">
        <v>24</v>
      </c>
      <c r="R85" s="213" t="s">
        <v>24</v>
      </c>
      <c r="S85" s="213" t="s">
        <v>24</v>
      </c>
      <c r="T85" s="213" t="s">
        <v>24</v>
      </c>
      <c r="U85" s="213" t="s">
        <v>24</v>
      </c>
      <c r="V85" s="213" t="s">
        <v>24</v>
      </c>
      <c r="W85" s="213" t="s">
        <v>24</v>
      </c>
      <c r="X85" s="213" t="s">
        <v>24</v>
      </c>
      <c r="Y85" s="213" t="s">
        <v>24</v>
      </c>
      <c r="Z85" s="213" t="s">
        <v>24</v>
      </c>
      <c r="AA85" s="210"/>
      <c r="AB85" s="270" t="s">
        <v>488</v>
      </c>
      <c r="AC85" s="270" t="s">
        <v>489</v>
      </c>
      <c r="AD85" s="270" t="s">
        <v>490</v>
      </c>
      <c r="AE85" s="220" t="s">
        <v>12</v>
      </c>
      <c r="AF85" s="210" t="s">
        <v>4</v>
      </c>
      <c r="AG85" s="291">
        <v>525400</v>
      </c>
      <c r="AH85" s="291">
        <v>525400</v>
      </c>
      <c r="AI85" s="210" t="s">
        <v>6</v>
      </c>
      <c r="AJ85" s="230" t="s">
        <v>104</v>
      </c>
      <c r="AK85" s="210">
        <v>101157896</v>
      </c>
      <c r="AL85" s="277" t="s">
        <v>491</v>
      </c>
      <c r="AM85" s="277" t="s">
        <v>105</v>
      </c>
      <c r="AN85" s="277" t="s">
        <v>492</v>
      </c>
      <c r="AO85" s="210" t="s">
        <v>493</v>
      </c>
      <c r="AP85" s="219" t="s">
        <v>494</v>
      </c>
      <c r="AQ85" s="277" t="s">
        <v>493</v>
      </c>
      <c r="AR85" s="277"/>
      <c r="AS85" s="277"/>
      <c r="AT85" s="277"/>
      <c r="AU85" s="277"/>
      <c r="AV85" s="277"/>
      <c r="AW85" s="277"/>
      <c r="AX85" s="277"/>
      <c r="AY85" s="277"/>
      <c r="AZ85" s="277"/>
      <c r="BA85" s="277"/>
      <c r="BB85" s="277"/>
      <c r="BC85" s="218" t="str">
        <f t="shared" si="7"/>
        <v/>
      </c>
      <c r="BD85" s="210" t="str">
        <f t="shared" si="8"/>
        <v>INDENIZAÇÃO</v>
      </c>
      <c r="BE85" s="210" t="str">
        <f t="shared" si="9"/>
        <v>NÃO</v>
      </c>
      <c r="BF85" s="210"/>
      <c r="BG85" s="210"/>
      <c r="BH85" s="210"/>
      <c r="BI85" s="210"/>
      <c r="BJ85" s="210"/>
      <c r="BK85" s="210"/>
      <c r="BL85" s="210"/>
      <c r="BM85" s="210"/>
      <c r="BN85" s="210"/>
      <c r="BO85" s="210"/>
      <c r="BP85" s="210"/>
      <c r="BQ85" s="210"/>
      <c r="BR85" s="210"/>
      <c r="BS85" s="210"/>
      <c r="BT85" s="210"/>
      <c r="BU85" s="210"/>
      <c r="BV85" s="210"/>
      <c r="BW85" s="210"/>
      <c r="BX85" s="210"/>
      <c r="BY85" s="210"/>
      <c r="BZ85" s="212"/>
    </row>
    <row r="86" spans="1:162" s="211" customFormat="1" ht="35.25" customHeight="1" x14ac:dyDescent="0.25">
      <c r="A86" s="210">
        <v>73</v>
      </c>
      <c r="B86" s="210" t="s">
        <v>99</v>
      </c>
      <c r="C86" s="210">
        <v>3</v>
      </c>
      <c r="D86" s="210">
        <v>0</v>
      </c>
      <c r="E86" s="210">
        <v>0</v>
      </c>
      <c r="F86" s="270" t="s">
        <v>495</v>
      </c>
      <c r="G86" s="220" t="s">
        <v>1</v>
      </c>
      <c r="H86" s="220" t="s">
        <v>2</v>
      </c>
      <c r="I86" s="210" t="s">
        <v>12</v>
      </c>
      <c r="J86" s="270" t="s">
        <v>496</v>
      </c>
      <c r="K86" s="270" t="s">
        <v>497</v>
      </c>
      <c r="L86" s="270" t="s">
        <v>498</v>
      </c>
      <c r="M86" s="210" t="s">
        <v>4</v>
      </c>
      <c r="N86" s="220" t="s">
        <v>5</v>
      </c>
      <c r="O86" s="213">
        <v>45463</v>
      </c>
      <c r="P86" s="213" t="s">
        <v>24</v>
      </c>
      <c r="Q86" s="213" t="s">
        <v>24</v>
      </c>
      <c r="R86" s="213" t="s">
        <v>24</v>
      </c>
      <c r="S86" s="213" t="s">
        <v>24</v>
      </c>
      <c r="T86" s="213" t="s">
        <v>24</v>
      </c>
      <c r="U86" s="213" t="s">
        <v>24</v>
      </c>
      <c r="V86" s="213" t="s">
        <v>24</v>
      </c>
      <c r="W86" s="213" t="s">
        <v>24</v>
      </c>
      <c r="X86" s="213" t="s">
        <v>24</v>
      </c>
      <c r="Y86" s="213" t="s">
        <v>24</v>
      </c>
      <c r="Z86" s="213" t="s">
        <v>24</v>
      </c>
      <c r="AA86" s="210"/>
      <c r="AB86" s="270" t="s">
        <v>496</v>
      </c>
      <c r="AC86" s="270" t="s">
        <v>497</v>
      </c>
      <c r="AD86" s="270" t="s">
        <v>498</v>
      </c>
      <c r="AE86" s="220" t="s">
        <v>12</v>
      </c>
      <c r="AF86" s="210" t="s">
        <v>4</v>
      </c>
      <c r="AG86" s="291">
        <v>10665.64</v>
      </c>
      <c r="AH86" s="291">
        <f>AG86+30000</f>
        <v>40665.64</v>
      </c>
      <c r="AI86" s="210" t="s">
        <v>6</v>
      </c>
      <c r="AJ86" s="230" t="s">
        <v>104</v>
      </c>
      <c r="AK86" s="210" t="s">
        <v>105</v>
      </c>
      <c r="AL86" s="210" t="s">
        <v>105</v>
      </c>
      <c r="AM86" s="210" t="s">
        <v>105</v>
      </c>
      <c r="AN86" s="232" t="s">
        <v>106</v>
      </c>
      <c r="AO86" s="210" t="s">
        <v>499</v>
      </c>
      <c r="AP86" s="219" t="s">
        <v>500</v>
      </c>
      <c r="AQ86" s="228" t="s">
        <v>501</v>
      </c>
      <c r="AR86" s="228" t="s">
        <v>501</v>
      </c>
      <c r="AS86" s="210" t="s">
        <v>105</v>
      </c>
      <c r="AT86" s="210" t="s">
        <v>105</v>
      </c>
      <c r="AU86" s="213">
        <v>45510</v>
      </c>
      <c r="AV86" s="210" t="s">
        <v>105</v>
      </c>
      <c r="AW86" s="210" t="s">
        <v>105</v>
      </c>
      <c r="AX86" s="213">
        <v>45544</v>
      </c>
      <c r="AY86" s="221">
        <v>45544</v>
      </c>
      <c r="AZ86" s="221" t="s">
        <v>220</v>
      </c>
      <c r="BA86" s="235" t="s">
        <v>502</v>
      </c>
      <c r="BB86" s="217" t="s">
        <v>105</v>
      </c>
      <c r="BC86" s="218">
        <f t="shared" si="7"/>
        <v>81</v>
      </c>
      <c r="BD86" s="210" t="str">
        <f t="shared" si="8"/>
        <v>INDENIZAÇÃO</v>
      </c>
      <c r="BE86" s="210" t="str">
        <f t="shared" si="9"/>
        <v>NÃO</v>
      </c>
      <c r="BF86" s="210" t="s">
        <v>24</v>
      </c>
      <c r="BG86" s="210" t="s">
        <v>24</v>
      </c>
      <c r="BH86" s="210" t="s">
        <v>24</v>
      </c>
      <c r="BI86" s="210" t="s">
        <v>105</v>
      </c>
      <c r="BJ86" s="210" t="s">
        <v>105</v>
      </c>
      <c r="BK86" s="213">
        <v>45621</v>
      </c>
      <c r="BL86" s="210" t="s">
        <v>105</v>
      </c>
      <c r="BM86" s="241" t="s">
        <v>220</v>
      </c>
      <c r="BN86" s="232"/>
      <c r="BO86" s="232"/>
      <c r="BP86" s="232"/>
      <c r="BQ86" s="232"/>
      <c r="BR86" s="232"/>
      <c r="BS86" s="232"/>
      <c r="BT86" s="232"/>
      <c r="BU86" s="232"/>
      <c r="BV86" s="232"/>
      <c r="BW86" s="232"/>
      <c r="BX86" s="232"/>
      <c r="BY86" s="232"/>
      <c r="BZ86" s="309"/>
      <c r="CA86" s="310"/>
      <c r="CB86" s="310"/>
      <c r="CC86" s="310"/>
      <c r="CD86" s="310"/>
      <c r="CE86" s="310"/>
      <c r="CF86" s="310"/>
      <c r="CG86" s="310"/>
      <c r="CH86" s="310"/>
      <c r="CI86" s="310"/>
      <c r="CJ86" s="310"/>
      <c r="CK86" s="310"/>
      <c r="CL86" s="310"/>
      <c r="CM86" s="310"/>
      <c r="CN86" s="310"/>
      <c r="CO86" s="310"/>
      <c r="CP86" s="310"/>
      <c r="CQ86" s="310"/>
      <c r="CR86" s="310"/>
      <c r="CS86" s="310"/>
      <c r="CT86" s="310"/>
      <c r="CU86" s="310"/>
      <c r="CV86" s="310"/>
      <c r="CW86" s="310"/>
      <c r="CX86" s="310"/>
      <c r="CY86" s="310"/>
      <c r="CZ86" s="310"/>
      <c r="DA86" s="310"/>
      <c r="DB86" s="310"/>
      <c r="DC86" s="310"/>
      <c r="DD86" s="310"/>
      <c r="DE86" s="310"/>
      <c r="DF86" s="310"/>
      <c r="DG86" s="310"/>
      <c r="DH86" s="310"/>
      <c r="DI86" s="310"/>
      <c r="DJ86" s="310"/>
      <c r="DK86" s="310"/>
      <c r="DL86" s="310"/>
      <c r="DM86" s="310"/>
      <c r="DN86" s="310"/>
      <c r="DO86" s="310"/>
      <c r="DP86" s="310"/>
      <c r="DQ86" s="310"/>
      <c r="DR86" s="310"/>
      <c r="DS86" s="310"/>
      <c r="DT86" s="310"/>
      <c r="DU86" s="310"/>
      <c r="DV86" s="310"/>
      <c r="DW86" s="310"/>
      <c r="DX86" s="310"/>
      <c r="DY86" s="310"/>
      <c r="DZ86" s="310"/>
      <c r="EA86" s="310"/>
      <c r="EB86" s="310"/>
      <c r="EC86" s="310"/>
      <c r="ED86" s="310"/>
      <c r="EE86" s="310"/>
      <c r="EF86" s="310"/>
      <c r="EG86" s="310"/>
      <c r="EH86" s="310"/>
      <c r="EI86" s="310"/>
      <c r="EJ86" s="310"/>
      <c r="EK86" s="310"/>
      <c r="EL86" s="310"/>
      <c r="EM86" s="310"/>
      <c r="EN86" s="310"/>
      <c r="EO86" s="310"/>
      <c r="EP86" s="310"/>
      <c r="EQ86" s="310"/>
      <c r="ER86" s="310"/>
      <c r="ES86" s="310"/>
      <c r="ET86" s="310"/>
      <c r="EU86" s="310"/>
      <c r="EV86" s="310"/>
      <c r="EW86" s="310"/>
      <c r="EX86" s="310"/>
      <c r="EY86" s="310"/>
      <c r="EZ86" s="310"/>
      <c r="FA86" s="310"/>
      <c r="FB86" s="310"/>
      <c r="FC86" s="310"/>
      <c r="FD86" s="310"/>
      <c r="FE86" s="310"/>
      <c r="FF86" s="310"/>
    </row>
    <row r="87" spans="1:162" s="211" customFormat="1" ht="35.25" hidden="1" customHeight="1" x14ac:dyDescent="0.25">
      <c r="A87" s="210">
        <v>74</v>
      </c>
      <c r="B87" s="277" t="s">
        <v>99</v>
      </c>
      <c r="C87" s="277">
        <v>3</v>
      </c>
      <c r="D87" s="277">
        <v>0</v>
      </c>
      <c r="E87" s="277">
        <v>0</v>
      </c>
      <c r="F87" s="276" t="s">
        <v>503</v>
      </c>
      <c r="G87" s="277" t="s">
        <v>1</v>
      </c>
      <c r="H87" s="277" t="s">
        <v>2</v>
      </c>
      <c r="I87" s="277" t="s">
        <v>121</v>
      </c>
      <c r="J87" s="276" t="s">
        <v>504</v>
      </c>
      <c r="K87" s="276" t="s">
        <v>505</v>
      </c>
      <c r="L87" s="276" t="s">
        <v>506</v>
      </c>
      <c r="M87" s="277"/>
      <c r="N87" s="277" t="s">
        <v>467</v>
      </c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77"/>
      <c r="AB87" s="276" t="s">
        <v>507</v>
      </c>
      <c r="AC87" s="276" t="s">
        <v>508</v>
      </c>
      <c r="AD87" s="276" t="s">
        <v>509</v>
      </c>
      <c r="AE87" s="277" t="s">
        <v>3</v>
      </c>
      <c r="AF87" s="277"/>
      <c r="AG87" s="292" t="s">
        <v>139</v>
      </c>
      <c r="AH87" s="292" t="s">
        <v>139</v>
      </c>
      <c r="AI87" s="277" t="s">
        <v>467</v>
      </c>
      <c r="AJ87" s="230" t="s">
        <v>104</v>
      </c>
      <c r="AK87" s="277"/>
      <c r="AL87" s="277"/>
      <c r="AM87" s="277"/>
      <c r="AN87" s="277"/>
      <c r="AO87" s="255" t="s">
        <v>467</v>
      </c>
      <c r="AP87" s="276"/>
      <c r="AQ87" s="303"/>
      <c r="AR87" s="303"/>
      <c r="AS87" s="303"/>
      <c r="AT87" s="277"/>
      <c r="AU87" s="301"/>
      <c r="AV87" s="277"/>
      <c r="AW87" s="277"/>
      <c r="AX87" s="256"/>
      <c r="AY87" s="301"/>
      <c r="AZ87" s="256"/>
      <c r="BA87" s="277"/>
      <c r="BB87" s="277" t="s">
        <v>467</v>
      </c>
      <c r="BC87" s="218" t="str">
        <f t="shared" si="7"/>
        <v/>
      </c>
      <c r="BD87" s="210" t="str">
        <f t="shared" si="8"/>
        <v>INDENIZAÇÃO</v>
      </c>
      <c r="BE87" s="210" t="str">
        <f t="shared" si="9"/>
        <v>NÃO</v>
      </c>
      <c r="BF87" s="277"/>
      <c r="BG87" s="277"/>
      <c r="BH87" s="277"/>
      <c r="BI87" s="277"/>
      <c r="BJ87" s="277"/>
      <c r="BK87" s="277"/>
      <c r="BL87" s="277"/>
      <c r="BM87" s="277"/>
      <c r="BN87" s="210"/>
      <c r="BO87" s="210"/>
      <c r="BP87" s="210"/>
      <c r="BQ87" s="210"/>
      <c r="BR87" s="210"/>
      <c r="BS87" s="210"/>
      <c r="BT87" s="210"/>
      <c r="BU87" s="210"/>
      <c r="BV87" s="210"/>
      <c r="BW87" s="210"/>
      <c r="BX87" s="210"/>
      <c r="BY87" s="210"/>
      <c r="BZ87" s="212"/>
    </row>
    <row r="88" spans="1:162" s="211" customFormat="1" ht="35.25" customHeight="1" x14ac:dyDescent="0.25">
      <c r="A88" s="210">
        <v>75</v>
      </c>
      <c r="B88" s="210" t="s">
        <v>99</v>
      </c>
      <c r="C88" s="210">
        <v>1</v>
      </c>
      <c r="D88" s="210">
        <v>0</v>
      </c>
      <c r="E88" s="210">
        <v>0</v>
      </c>
      <c r="F88" s="219" t="s">
        <v>510</v>
      </c>
      <c r="G88" s="210" t="s">
        <v>1</v>
      </c>
      <c r="H88" s="210" t="s">
        <v>2</v>
      </c>
      <c r="I88" s="210" t="s">
        <v>12</v>
      </c>
      <c r="J88" s="219" t="s">
        <v>511</v>
      </c>
      <c r="K88" s="219" t="s">
        <v>512</v>
      </c>
      <c r="L88" s="219" t="s">
        <v>513</v>
      </c>
      <c r="M88" s="220" t="s">
        <v>4</v>
      </c>
      <c r="N88" s="220" t="s">
        <v>5</v>
      </c>
      <c r="O88" s="213">
        <v>44900</v>
      </c>
      <c r="P88" s="213" t="s">
        <v>24</v>
      </c>
      <c r="Q88" s="213" t="s">
        <v>24</v>
      </c>
      <c r="R88" s="213" t="s">
        <v>24</v>
      </c>
      <c r="S88" s="213" t="s">
        <v>24</v>
      </c>
      <c r="T88" s="213" t="s">
        <v>24</v>
      </c>
      <c r="U88" s="213" t="s">
        <v>24</v>
      </c>
      <c r="V88" s="213" t="s">
        <v>24</v>
      </c>
      <c r="W88" s="213" t="s">
        <v>24</v>
      </c>
      <c r="X88" s="213" t="s">
        <v>24</v>
      </c>
      <c r="Y88" s="213" t="s">
        <v>24</v>
      </c>
      <c r="Z88" s="213" t="s">
        <v>24</v>
      </c>
      <c r="AA88" s="210"/>
      <c r="AB88" s="219" t="s">
        <v>511</v>
      </c>
      <c r="AC88" s="219" t="s">
        <v>512</v>
      </c>
      <c r="AD88" s="219" t="s">
        <v>513</v>
      </c>
      <c r="AE88" s="220" t="s">
        <v>12</v>
      </c>
      <c r="AF88" s="210" t="s">
        <v>4</v>
      </c>
      <c r="AG88" s="230">
        <v>7000</v>
      </c>
      <c r="AH88" s="230">
        <v>37000</v>
      </c>
      <c r="AI88" s="214" t="s">
        <v>6</v>
      </c>
      <c r="AJ88" s="230" t="s">
        <v>104</v>
      </c>
      <c r="AK88" s="210" t="s">
        <v>105</v>
      </c>
      <c r="AL88" s="210" t="s">
        <v>105</v>
      </c>
      <c r="AM88" s="210" t="s">
        <v>105</v>
      </c>
      <c r="AN88" s="210" t="s">
        <v>106</v>
      </c>
      <c r="AO88" s="228"/>
      <c r="AP88" s="219" t="s">
        <v>514</v>
      </c>
      <c r="AQ88" s="210" t="s">
        <v>105</v>
      </c>
      <c r="AR88" s="210" t="s">
        <v>105</v>
      </c>
      <c r="AS88" s="210" t="s">
        <v>105</v>
      </c>
      <c r="AT88" s="210" t="s">
        <v>105</v>
      </c>
      <c r="AU88" s="213">
        <v>45014</v>
      </c>
      <c r="AV88" s="210" t="s">
        <v>105</v>
      </c>
      <c r="AW88" s="210" t="s">
        <v>105</v>
      </c>
      <c r="AX88" s="213">
        <v>45022</v>
      </c>
      <c r="AY88" s="213">
        <v>45022</v>
      </c>
      <c r="AZ88" s="253">
        <v>45056</v>
      </c>
      <c r="BA88" s="220" t="s">
        <v>30</v>
      </c>
      <c r="BB88" s="217" t="s">
        <v>105</v>
      </c>
      <c r="BC88" s="218">
        <f t="shared" si="7"/>
        <v>122</v>
      </c>
      <c r="BD88" s="210" t="str">
        <f t="shared" si="8"/>
        <v>INDENIZAÇÃO</v>
      </c>
      <c r="BE88" s="210" t="str">
        <f t="shared" si="9"/>
        <v>NÃO</v>
      </c>
      <c r="BF88" s="210" t="s">
        <v>24</v>
      </c>
      <c r="BG88" s="210" t="s">
        <v>24</v>
      </c>
      <c r="BH88" s="210" t="s">
        <v>24</v>
      </c>
      <c r="BI88" s="210" t="s">
        <v>105</v>
      </c>
      <c r="BJ88" s="210" t="s">
        <v>105</v>
      </c>
      <c r="BK88" s="253">
        <v>45190</v>
      </c>
      <c r="BL88" s="210" t="s">
        <v>105</v>
      </c>
      <c r="BM88" s="266" t="s">
        <v>105</v>
      </c>
      <c r="BN88" s="210"/>
      <c r="BO88" s="210"/>
      <c r="BP88" s="210"/>
      <c r="BQ88" s="210"/>
      <c r="BR88" s="210"/>
      <c r="BS88" s="210"/>
      <c r="BT88" s="210"/>
      <c r="BU88" s="210"/>
      <c r="BV88" s="210"/>
      <c r="BW88" s="210"/>
      <c r="BX88" s="210"/>
      <c r="BY88" s="210"/>
      <c r="BZ88" s="212"/>
    </row>
    <row r="89" spans="1:162" s="211" customFormat="1" ht="35.25" customHeight="1" x14ac:dyDescent="0.25">
      <c r="A89" s="210">
        <v>76</v>
      </c>
      <c r="B89" s="210" t="s">
        <v>99</v>
      </c>
      <c r="C89" s="220">
        <v>1</v>
      </c>
      <c r="D89" s="210">
        <v>0</v>
      </c>
      <c r="E89" s="210">
        <v>0</v>
      </c>
      <c r="F89" s="270" t="s">
        <v>515</v>
      </c>
      <c r="G89" s="220" t="s">
        <v>1</v>
      </c>
      <c r="H89" s="220" t="s">
        <v>2</v>
      </c>
      <c r="I89" s="210" t="s">
        <v>12</v>
      </c>
      <c r="J89" s="270" t="s">
        <v>516</v>
      </c>
      <c r="K89" s="270" t="s">
        <v>517</v>
      </c>
      <c r="L89" s="270" t="s">
        <v>518</v>
      </c>
      <c r="M89" s="220" t="s">
        <v>4</v>
      </c>
      <c r="N89" s="220" t="s">
        <v>5</v>
      </c>
      <c r="O89" s="213">
        <v>44900</v>
      </c>
      <c r="P89" s="213" t="s">
        <v>24</v>
      </c>
      <c r="Q89" s="213" t="s">
        <v>24</v>
      </c>
      <c r="R89" s="213" t="s">
        <v>24</v>
      </c>
      <c r="S89" s="213" t="s">
        <v>24</v>
      </c>
      <c r="T89" s="213" t="s">
        <v>24</v>
      </c>
      <c r="U89" s="213" t="s">
        <v>24</v>
      </c>
      <c r="V89" s="213" t="s">
        <v>24</v>
      </c>
      <c r="W89" s="213" t="s">
        <v>24</v>
      </c>
      <c r="X89" s="213" t="s">
        <v>24</v>
      </c>
      <c r="Y89" s="213" t="s">
        <v>24</v>
      </c>
      <c r="Z89" s="213" t="s">
        <v>24</v>
      </c>
      <c r="AA89" s="210"/>
      <c r="AB89" s="270" t="s">
        <v>516</v>
      </c>
      <c r="AC89" s="270" t="s">
        <v>517</v>
      </c>
      <c r="AD89" s="270" t="s">
        <v>518</v>
      </c>
      <c r="AE89" s="220" t="s">
        <v>12</v>
      </c>
      <c r="AF89" s="210" t="s">
        <v>4</v>
      </c>
      <c r="AG89" s="291">
        <v>37500</v>
      </c>
      <c r="AH89" s="291">
        <v>60000</v>
      </c>
      <c r="AI89" s="214" t="s">
        <v>6</v>
      </c>
      <c r="AJ89" s="230" t="s">
        <v>104</v>
      </c>
      <c r="AK89" s="210" t="s">
        <v>105</v>
      </c>
      <c r="AL89" s="210" t="s">
        <v>105</v>
      </c>
      <c r="AM89" s="210" t="s">
        <v>105</v>
      </c>
      <c r="AN89" s="210" t="s">
        <v>106</v>
      </c>
      <c r="AO89" s="210"/>
      <c r="AP89" s="219" t="s">
        <v>519</v>
      </c>
      <c r="AQ89" s="210" t="s">
        <v>105</v>
      </c>
      <c r="AR89" s="210" t="s">
        <v>105</v>
      </c>
      <c r="AS89" s="210" t="s">
        <v>105</v>
      </c>
      <c r="AT89" s="210" t="s">
        <v>105</v>
      </c>
      <c r="AU89" s="213">
        <v>45014</v>
      </c>
      <c r="AV89" s="210" t="s">
        <v>105</v>
      </c>
      <c r="AW89" s="210" t="s">
        <v>105</v>
      </c>
      <c r="AX89" s="213">
        <v>45022</v>
      </c>
      <c r="AY89" s="213">
        <v>45022</v>
      </c>
      <c r="AZ89" s="253">
        <v>45056</v>
      </c>
      <c r="BA89" s="220" t="s">
        <v>30</v>
      </c>
      <c r="BB89" s="217" t="s">
        <v>105</v>
      </c>
      <c r="BC89" s="218">
        <f t="shared" si="7"/>
        <v>122</v>
      </c>
      <c r="BD89" s="210" t="str">
        <f t="shared" si="8"/>
        <v>INDENIZAÇÃO</v>
      </c>
      <c r="BE89" s="210" t="str">
        <f t="shared" si="9"/>
        <v>NÃO</v>
      </c>
      <c r="BF89" s="210" t="s">
        <v>24</v>
      </c>
      <c r="BG89" s="210" t="s">
        <v>24</v>
      </c>
      <c r="BH89" s="210" t="s">
        <v>24</v>
      </c>
      <c r="BI89" s="210" t="s">
        <v>105</v>
      </c>
      <c r="BJ89" s="210" t="s">
        <v>105</v>
      </c>
      <c r="BK89" s="253">
        <v>45190</v>
      </c>
      <c r="BL89" s="210" t="s">
        <v>105</v>
      </c>
      <c r="BM89" s="265" t="s">
        <v>105</v>
      </c>
      <c r="BN89" s="210"/>
      <c r="BO89" s="210"/>
      <c r="BP89" s="210"/>
      <c r="BQ89" s="210"/>
      <c r="BR89" s="210"/>
      <c r="BS89" s="210"/>
      <c r="BT89" s="210"/>
      <c r="BU89" s="210"/>
      <c r="BV89" s="210"/>
      <c r="BW89" s="210"/>
      <c r="BX89" s="210"/>
      <c r="BY89" s="210"/>
      <c r="BZ89" s="212"/>
    </row>
    <row r="90" spans="1:162" s="211" customFormat="1" ht="35.25" customHeight="1" x14ac:dyDescent="0.25">
      <c r="A90" s="210">
        <v>77</v>
      </c>
      <c r="B90" s="210" t="s">
        <v>99</v>
      </c>
      <c r="C90" s="210">
        <v>3</v>
      </c>
      <c r="D90" s="210">
        <v>0</v>
      </c>
      <c r="E90" s="210">
        <v>0</v>
      </c>
      <c r="F90" s="270" t="s">
        <v>520</v>
      </c>
      <c r="G90" s="220" t="s">
        <v>1</v>
      </c>
      <c r="H90" s="220" t="s">
        <v>2</v>
      </c>
      <c r="I90" s="210" t="s">
        <v>12</v>
      </c>
      <c r="J90" s="270" t="s">
        <v>521</v>
      </c>
      <c r="K90" s="270" t="s">
        <v>522</v>
      </c>
      <c r="L90" s="270" t="s">
        <v>523</v>
      </c>
      <c r="M90" s="210" t="s">
        <v>4</v>
      </c>
      <c r="N90" s="220" t="s">
        <v>5</v>
      </c>
      <c r="O90" s="213">
        <v>45467</v>
      </c>
      <c r="P90" s="213" t="s">
        <v>24</v>
      </c>
      <c r="Q90" s="213" t="s">
        <v>24</v>
      </c>
      <c r="R90" s="213" t="s">
        <v>24</v>
      </c>
      <c r="S90" s="213" t="s">
        <v>24</v>
      </c>
      <c r="T90" s="213" t="s">
        <v>24</v>
      </c>
      <c r="U90" s="229" t="s">
        <v>24</v>
      </c>
      <c r="V90" s="213" t="s">
        <v>24</v>
      </c>
      <c r="W90" s="213" t="s">
        <v>24</v>
      </c>
      <c r="X90" s="213" t="s">
        <v>24</v>
      </c>
      <c r="Y90" s="213" t="s">
        <v>24</v>
      </c>
      <c r="Z90" s="213" t="s">
        <v>24</v>
      </c>
      <c r="AA90" s="210"/>
      <c r="AB90" s="270" t="s">
        <v>521</v>
      </c>
      <c r="AC90" s="270" t="s">
        <v>522</v>
      </c>
      <c r="AD90" s="270" t="s">
        <v>523</v>
      </c>
      <c r="AE90" s="220" t="s">
        <v>12</v>
      </c>
      <c r="AF90" s="232" t="s">
        <v>4</v>
      </c>
      <c r="AG90" s="291">
        <v>37300</v>
      </c>
      <c r="AH90" s="291">
        <v>60000</v>
      </c>
      <c r="AI90" s="210" t="s">
        <v>6</v>
      </c>
      <c r="AJ90" s="230" t="s">
        <v>104</v>
      </c>
      <c r="AK90" s="232" t="s">
        <v>105</v>
      </c>
      <c r="AL90" s="210" t="s">
        <v>105</v>
      </c>
      <c r="AM90" s="210" t="s">
        <v>105</v>
      </c>
      <c r="AN90" s="232" t="s">
        <v>106</v>
      </c>
      <c r="AO90" s="210"/>
      <c r="AP90" s="219" t="s">
        <v>524</v>
      </c>
      <c r="AQ90" s="210" t="s">
        <v>105</v>
      </c>
      <c r="AR90" s="210" t="s">
        <v>105</v>
      </c>
      <c r="AS90" s="210" t="s">
        <v>105</v>
      </c>
      <c r="AT90" s="210" t="s">
        <v>105</v>
      </c>
      <c r="AU90" s="213">
        <v>45587</v>
      </c>
      <c r="AV90" s="210" t="s">
        <v>105</v>
      </c>
      <c r="AW90" s="210" t="s">
        <v>105</v>
      </c>
      <c r="AX90" s="213">
        <v>45600</v>
      </c>
      <c r="AY90" s="221">
        <v>45600</v>
      </c>
      <c r="AZ90" s="221" t="s">
        <v>220</v>
      </c>
      <c r="BA90" s="235" t="s">
        <v>502</v>
      </c>
      <c r="BB90" s="217" t="s">
        <v>105</v>
      </c>
      <c r="BC90" s="218">
        <f t="shared" si="7"/>
        <v>133</v>
      </c>
      <c r="BD90" s="210" t="str">
        <f t="shared" si="8"/>
        <v>INDENIZAÇÃO</v>
      </c>
      <c r="BE90" s="210" t="str">
        <f t="shared" si="9"/>
        <v>NÃO</v>
      </c>
      <c r="BF90" s="210" t="s">
        <v>24</v>
      </c>
      <c r="BG90" s="210" t="s">
        <v>24</v>
      </c>
      <c r="BH90" s="210" t="s">
        <v>24</v>
      </c>
      <c r="BI90" s="210" t="s">
        <v>105</v>
      </c>
      <c r="BJ90" s="210" t="s">
        <v>105</v>
      </c>
      <c r="BK90" s="213">
        <v>45652</v>
      </c>
      <c r="BL90" s="210" t="s">
        <v>105</v>
      </c>
      <c r="BM90" s="241" t="s">
        <v>220</v>
      </c>
      <c r="BN90" s="232"/>
      <c r="BO90" s="232"/>
      <c r="BP90" s="232"/>
      <c r="BQ90" s="232"/>
      <c r="BR90" s="232"/>
      <c r="BS90" s="232"/>
      <c r="BT90" s="232"/>
      <c r="BU90" s="232"/>
      <c r="BV90" s="232"/>
      <c r="BW90" s="232"/>
      <c r="BX90" s="232"/>
      <c r="BY90" s="232"/>
      <c r="BZ90" s="309"/>
      <c r="CA90" s="310"/>
      <c r="CB90" s="310"/>
      <c r="CC90" s="310"/>
      <c r="CD90" s="310"/>
      <c r="CE90" s="310"/>
      <c r="CF90" s="310"/>
      <c r="CG90" s="310"/>
      <c r="CH90" s="310"/>
      <c r="CI90" s="310"/>
      <c r="CJ90" s="310"/>
      <c r="CK90" s="310"/>
      <c r="CL90" s="310"/>
      <c r="CM90" s="310"/>
      <c r="CN90" s="310"/>
      <c r="CO90" s="310"/>
      <c r="CP90" s="310"/>
      <c r="CQ90" s="310"/>
      <c r="CR90" s="310"/>
      <c r="CS90" s="310"/>
      <c r="CT90" s="310"/>
      <c r="CU90" s="310"/>
      <c r="CV90" s="310"/>
      <c r="CW90" s="310"/>
      <c r="CX90" s="310"/>
      <c r="CY90" s="310"/>
      <c r="CZ90" s="310"/>
      <c r="DA90" s="310"/>
      <c r="DB90" s="310"/>
      <c r="DC90" s="310"/>
      <c r="DD90" s="310"/>
      <c r="DE90" s="310"/>
      <c r="DF90" s="310"/>
      <c r="DG90" s="310"/>
      <c r="DH90" s="310"/>
      <c r="DI90" s="310"/>
      <c r="DJ90" s="310"/>
      <c r="DK90" s="310"/>
      <c r="DL90" s="310"/>
      <c r="DM90" s="310"/>
      <c r="DN90" s="310"/>
      <c r="DO90" s="310"/>
      <c r="DP90" s="310"/>
      <c r="DQ90" s="310"/>
      <c r="DR90" s="310"/>
      <c r="DS90" s="310"/>
      <c r="DT90" s="310"/>
      <c r="DU90" s="310"/>
      <c r="DV90" s="310"/>
      <c r="DW90" s="310"/>
      <c r="DX90" s="310"/>
      <c r="DY90" s="310"/>
      <c r="DZ90" s="310"/>
      <c r="EA90" s="310"/>
      <c r="EB90" s="310"/>
      <c r="EC90" s="310"/>
      <c r="ED90" s="310"/>
      <c r="EE90" s="310"/>
      <c r="EF90" s="310"/>
      <c r="EG90" s="310"/>
      <c r="EH90" s="310"/>
      <c r="EI90" s="310"/>
      <c r="EJ90" s="310"/>
      <c r="EK90" s="310"/>
      <c r="EL90" s="310"/>
      <c r="EM90" s="310"/>
      <c r="EN90" s="310"/>
      <c r="EO90" s="310"/>
      <c r="EP90" s="310"/>
      <c r="EQ90" s="310"/>
      <c r="ER90" s="310"/>
      <c r="ES90" s="310"/>
      <c r="ET90" s="310"/>
      <c r="EU90" s="310"/>
      <c r="EV90" s="310"/>
      <c r="EW90" s="310"/>
      <c r="EX90" s="310"/>
      <c r="EY90" s="310"/>
      <c r="EZ90" s="310"/>
      <c r="FA90" s="310"/>
      <c r="FB90" s="310"/>
      <c r="FC90" s="310"/>
      <c r="FD90" s="310"/>
      <c r="FE90" s="310"/>
      <c r="FF90" s="310"/>
    </row>
    <row r="91" spans="1:162" s="211" customFormat="1" ht="35.25" customHeight="1" x14ac:dyDescent="0.2">
      <c r="A91" s="210">
        <v>78</v>
      </c>
      <c r="B91" s="210" t="s">
        <v>99</v>
      </c>
      <c r="C91" s="210">
        <v>3</v>
      </c>
      <c r="D91" s="210">
        <v>0</v>
      </c>
      <c r="E91" s="210">
        <v>0</v>
      </c>
      <c r="F91" s="270" t="s">
        <v>525</v>
      </c>
      <c r="G91" s="220" t="s">
        <v>1</v>
      </c>
      <c r="H91" s="220" t="s">
        <v>2</v>
      </c>
      <c r="I91" s="210" t="s">
        <v>12</v>
      </c>
      <c r="J91" s="270" t="s">
        <v>526</v>
      </c>
      <c r="K91" s="270" t="s">
        <v>527</v>
      </c>
      <c r="L91" s="270" t="s">
        <v>528</v>
      </c>
      <c r="M91" s="210" t="s">
        <v>529</v>
      </c>
      <c r="N91" s="220" t="s">
        <v>5</v>
      </c>
      <c r="O91" s="213">
        <v>45470</v>
      </c>
      <c r="P91" s="213" t="s">
        <v>24</v>
      </c>
      <c r="Q91" s="213" t="s">
        <v>24</v>
      </c>
      <c r="R91" s="213" t="s">
        <v>24</v>
      </c>
      <c r="S91" s="213" t="s">
        <v>24</v>
      </c>
      <c r="T91" s="213" t="s">
        <v>24</v>
      </c>
      <c r="U91" s="229" t="s">
        <v>24</v>
      </c>
      <c r="V91" s="213" t="s">
        <v>24</v>
      </c>
      <c r="W91" s="213" t="s">
        <v>24</v>
      </c>
      <c r="X91" s="213" t="s">
        <v>24</v>
      </c>
      <c r="Y91" s="213" t="s">
        <v>24</v>
      </c>
      <c r="Z91" s="213" t="s">
        <v>24</v>
      </c>
      <c r="AA91" s="210"/>
      <c r="AB91" s="270" t="s">
        <v>526</v>
      </c>
      <c r="AC91" s="270" t="s">
        <v>527</v>
      </c>
      <c r="AD91" s="270" t="s">
        <v>528</v>
      </c>
      <c r="AE91" s="220" t="s">
        <v>12</v>
      </c>
      <c r="AF91" s="210" t="s">
        <v>4</v>
      </c>
      <c r="AG91" s="291">
        <v>9300</v>
      </c>
      <c r="AH91" s="291">
        <f>AG91+30000</f>
        <v>39300</v>
      </c>
      <c r="AI91" s="210" t="s">
        <v>6</v>
      </c>
      <c r="AJ91" s="230" t="s">
        <v>104</v>
      </c>
      <c r="AK91" s="232" t="s">
        <v>105</v>
      </c>
      <c r="AL91" s="210" t="s">
        <v>105</v>
      </c>
      <c r="AM91" s="210" t="s">
        <v>105</v>
      </c>
      <c r="AN91" s="210" t="s">
        <v>106</v>
      </c>
      <c r="AO91" s="357"/>
      <c r="AP91" s="231" t="s">
        <v>530</v>
      </c>
      <c r="AQ91" s="210" t="s">
        <v>105</v>
      </c>
      <c r="AR91" s="210" t="s">
        <v>105</v>
      </c>
      <c r="AS91" s="210" t="s">
        <v>105</v>
      </c>
      <c r="AT91" s="210" t="s">
        <v>105</v>
      </c>
      <c r="AU91" s="213">
        <v>45537</v>
      </c>
      <c r="AV91" s="210" t="s">
        <v>105</v>
      </c>
      <c r="AW91" s="210" t="s">
        <v>105</v>
      </c>
      <c r="AX91" s="213">
        <v>45545</v>
      </c>
      <c r="AY91" s="221">
        <v>45545</v>
      </c>
      <c r="AZ91" s="221" t="s">
        <v>220</v>
      </c>
      <c r="BA91" s="232" t="s">
        <v>30</v>
      </c>
      <c r="BB91" s="217" t="s">
        <v>105</v>
      </c>
      <c r="BC91" s="218">
        <f t="shared" si="7"/>
        <v>75</v>
      </c>
      <c r="BD91" s="210" t="str">
        <f t="shared" si="8"/>
        <v>INDENIZAÇÃO</v>
      </c>
      <c r="BE91" s="210" t="str">
        <f t="shared" si="9"/>
        <v>NÃO</v>
      </c>
      <c r="BF91" s="210" t="s">
        <v>24</v>
      </c>
      <c r="BG91" s="210" t="s">
        <v>24</v>
      </c>
      <c r="BH91" s="210" t="s">
        <v>24</v>
      </c>
      <c r="BI91" s="210" t="s">
        <v>105</v>
      </c>
      <c r="BJ91" s="210" t="s">
        <v>105</v>
      </c>
      <c r="BK91" s="213">
        <v>45621</v>
      </c>
      <c r="BL91" s="210" t="s">
        <v>105</v>
      </c>
      <c r="BM91" s="241" t="s">
        <v>220</v>
      </c>
      <c r="BN91" s="232"/>
      <c r="BO91" s="232"/>
      <c r="BP91" s="232"/>
      <c r="BQ91" s="232"/>
      <c r="BR91" s="232"/>
      <c r="BS91" s="232"/>
      <c r="BT91" s="232"/>
      <c r="BU91" s="232"/>
      <c r="BV91" s="232"/>
      <c r="BW91" s="232"/>
      <c r="BX91" s="232"/>
      <c r="BY91" s="232"/>
      <c r="BZ91" s="309"/>
      <c r="CA91" s="310"/>
      <c r="CB91" s="310"/>
      <c r="CC91" s="310"/>
      <c r="CD91" s="310"/>
      <c r="CE91" s="310"/>
      <c r="CF91" s="310"/>
      <c r="CG91" s="310"/>
      <c r="CH91" s="310"/>
      <c r="CI91" s="310"/>
      <c r="CJ91" s="310"/>
      <c r="CK91" s="310"/>
      <c r="CL91" s="310"/>
      <c r="CM91" s="310"/>
      <c r="CN91" s="310"/>
      <c r="CO91" s="310"/>
      <c r="CP91" s="310"/>
      <c r="CQ91" s="310"/>
      <c r="CR91" s="310"/>
      <c r="CS91" s="310"/>
      <c r="CT91" s="310"/>
      <c r="CU91" s="310"/>
      <c r="CV91" s="310"/>
      <c r="CW91" s="310"/>
      <c r="CX91" s="310"/>
      <c r="CY91" s="310"/>
      <c r="CZ91" s="310"/>
      <c r="DA91" s="310"/>
      <c r="DB91" s="310"/>
      <c r="DC91" s="310"/>
      <c r="DD91" s="310"/>
      <c r="DE91" s="310"/>
      <c r="DF91" s="310"/>
      <c r="DG91" s="310"/>
      <c r="DH91" s="310"/>
      <c r="DI91" s="310"/>
      <c r="DJ91" s="310"/>
      <c r="DK91" s="310"/>
      <c r="DL91" s="310"/>
      <c r="DM91" s="310"/>
      <c r="DN91" s="310"/>
      <c r="DO91" s="310"/>
      <c r="DP91" s="310"/>
      <c r="DQ91" s="310"/>
      <c r="DR91" s="310"/>
      <c r="DS91" s="310"/>
      <c r="DT91" s="310"/>
      <c r="DU91" s="310"/>
      <c r="DV91" s="310"/>
      <c r="DW91" s="310"/>
      <c r="DX91" s="310"/>
      <c r="DY91" s="310"/>
      <c r="DZ91" s="310"/>
      <c r="EA91" s="310"/>
      <c r="EB91" s="310"/>
      <c r="EC91" s="310"/>
      <c r="ED91" s="310"/>
      <c r="EE91" s="310"/>
      <c r="EF91" s="310"/>
      <c r="EG91" s="310"/>
      <c r="EH91" s="310"/>
      <c r="EI91" s="310"/>
      <c r="EJ91" s="310"/>
      <c r="EK91" s="310"/>
      <c r="EL91" s="310"/>
      <c r="EM91" s="310"/>
      <c r="EN91" s="310"/>
      <c r="EO91" s="310"/>
      <c r="EP91" s="310"/>
      <c r="EQ91" s="310"/>
      <c r="ER91" s="310"/>
      <c r="ES91" s="310"/>
      <c r="ET91" s="310"/>
      <c r="EU91" s="310"/>
      <c r="EV91" s="310"/>
      <c r="EW91" s="310"/>
      <c r="EX91" s="310"/>
      <c r="EY91" s="310"/>
      <c r="EZ91" s="310"/>
      <c r="FA91" s="310"/>
      <c r="FB91" s="310"/>
      <c r="FC91" s="310"/>
      <c r="FD91" s="310"/>
      <c r="FE91" s="310"/>
      <c r="FF91" s="310"/>
    </row>
    <row r="92" spans="1:162" s="211" customFormat="1" ht="35.25" hidden="1" customHeight="1" x14ac:dyDescent="0.25">
      <c r="A92" s="210">
        <v>79</v>
      </c>
      <c r="B92" s="210" t="s">
        <v>99</v>
      </c>
      <c r="C92" s="210">
        <v>3</v>
      </c>
      <c r="D92" s="210">
        <v>0</v>
      </c>
      <c r="E92" s="210">
        <v>0</v>
      </c>
      <c r="F92" s="270" t="s">
        <v>531</v>
      </c>
      <c r="G92" s="220" t="s">
        <v>1</v>
      </c>
      <c r="H92" s="220" t="s">
        <v>2</v>
      </c>
      <c r="I92" s="210" t="s">
        <v>12</v>
      </c>
      <c r="J92" s="270" t="s">
        <v>532</v>
      </c>
      <c r="K92" s="270" t="s">
        <v>533</v>
      </c>
      <c r="L92" s="270" t="s">
        <v>534</v>
      </c>
      <c r="M92" s="210" t="s">
        <v>529</v>
      </c>
      <c r="N92" s="220" t="s">
        <v>14</v>
      </c>
      <c r="O92" s="213">
        <v>45019</v>
      </c>
      <c r="P92" s="233">
        <v>45435</v>
      </c>
      <c r="Q92" s="233" t="s">
        <v>114</v>
      </c>
      <c r="R92" s="213" t="s">
        <v>105</v>
      </c>
      <c r="S92" s="213" t="s">
        <v>105</v>
      </c>
      <c r="T92" s="213" t="s">
        <v>105</v>
      </c>
      <c r="U92" s="233">
        <v>45475</v>
      </c>
      <c r="V92" s="213" t="s">
        <v>105</v>
      </c>
      <c r="W92" s="233"/>
      <c r="X92" s="233">
        <v>45492</v>
      </c>
      <c r="Y92" s="233"/>
      <c r="Z92" s="233">
        <v>45499</v>
      </c>
      <c r="AA92" s="232"/>
      <c r="AB92" s="270" t="s">
        <v>532</v>
      </c>
      <c r="AC92" s="270" t="s">
        <v>533</v>
      </c>
      <c r="AD92" s="270" t="s">
        <v>534</v>
      </c>
      <c r="AE92" s="220" t="s">
        <v>12</v>
      </c>
      <c r="AF92" s="232"/>
      <c r="AG92" s="291" t="s">
        <v>139</v>
      </c>
      <c r="AH92" s="291" t="s">
        <v>139</v>
      </c>
      <c r="AI92" s="232"/>
      <c r="AJ92" s="230" t="s">
        <v>104</v>
      </c>
      <c r="AK92" s="232"/>
      <c r="AL92" s="232"/>
      <c r="AM92" s="232"/>
      <c r="AN92" s="232"/>
      <c r="AO92" s="232"/>
      <c r="AP92" s="234"/>
      <c r="AQ92" s="232"/>
      <c r="AR92" s="232"/>
      <c r="AS92" s="232"/>
      <c r="AT92" s="232"/>
      <c r="AU92" s="232"/>
      <c r="AV92" s="232"/>
      <c r="AW92" s="232"/>
      <c r="AX92" s="233"/>
      <c r="AY92" s="232"/>
      <c r="AZ92" s="233"/>
      <c r="BA92" s="232"/>
      <c r="BB92" s="232"/>
      <c r="BC92" s="218" t="str">
        <f t="shared" si="7"/>
        <v/>
      </c>
      <c r="BD92" s="210" t="str">
        <f t="shared" si="8"/>
        <v>INDENIZAÇÃO</v>
      </c>
      <c r="BE92" s="210" t="str">
        <f t="shared" si="9"/>
        <v>NÃO</v>
      </c>
      <c r="BF92" s="210"/>
      <c r="BG92" s="210"/>
      <c r="BH92" s="210"/>
      <c r="BI92" s="210"/>
      <c r="BJ92" s="210"/>
      <c r="BK92" s="210"/>
      <c r="BL92" s="210"/>
      <c r="BM92" s="210"/>
      <c r="BN92" s="210"/>
      <c r="BO92" s="210"/>
      <c r="BP92" s="210"/>
      <c r="BQ92" s="210"/>
      <c r="BR92" s="210"/>
      <c r="BS92" s="210"/>
      <c r="BT92" s="210"/>
      <c r="BU92" s="210"/>
      <c r="BV92" s="210"/>
      <c r="BW92" s="210"/>
      <c r="BX92" s="210"/>
      <c r="BY92" s="210"/>
      <c r="BZ92" s="212"/>
    </row>
    <row r="93" spans="1:162" s="211" customFormat="1" ht="35.25" hidden="1" customHeight="1" x14ac:dyDescent="0.25">
      <c r="A93" s="210">
        <v>80</v>
      </c>
      <c r="B93" s="210" t="s">
        <v>99</v>
      </c>
      <c r="C93" s="210">
        <v>3</v>
      </c>
      <c r="D93" s="210">
        <v>0</v>
      </c>
      <c r="E93" s="210">
        <v>0</v>
      </c>
      <c r="F93" s="219" t="s">
        <v>535</v>
      </c>
      <c r="G93" s="210" t="s">
        <v>1</v>
      </c>
      <c r="H93" s="210" t="s">
        <v>2</v>
      </c>
      <c r="I93" s="210" t="s">
        <v>12</v>
      </c>
      <c r="J93" s="219" t="s">
        <v>536</v>
      </c>
      <c r="K93" s="219" t="s">
        <v>537</v>
      </c>
      <c r="L93" s="219" t="s">
        <v>538</v>
      </c>
      <c r="M93" s="232" t="s">
        <v>4</v>
      </c>
      <c r="N93" s="220" t="s">
        <v>14</v>
      </c>
      <c r="O93" s="213">
        <v>45019</v>
      </c>
      <c r="P93" s="233">
        <v>45485</v>
      </c>
      <c r="Q93" s="233" t="s">
        <v>114</v>
      </c>
      <c r="R93" s="213" t="s">
        <v>105</v>
      </c>
      <c r="S93" s="213" t="s">
        <v>105</v>
      </c>
      <c r="T93" s="213" t="s">
        <v>105</v>
      </c>
      <c r="U93" s="233">
        <v>45505</v>
      </c>
      <c r="V93" s="213" t="s">
        <v>105</v>
      </c>
      <c r="W93" s="233"/>
      <c r="X93" s="233"/>
      <c r="Y93" s="233"/>
      <c r="Z93" s="233"/>
      <c r="AA93" s="232"/>
      <c r="AB93" s="219" t="s">
        <v>536</v>
      </c>
      <c r="AC93" s="219" t="s">
        <v>537</v>
      </c>
      <c r="AD93" s="219" t="s">
        <v>538</v>
      </c>
      <c r="AE93" s="220" t="s">
        <v>12</v>
      </c>
      <c r="AF93" s="232" t="s">
        <v>4</v>
      </c>
      <c r="AG93" s="230" t="s">
        <v>139</v>
      </c>
      <c r="AH93" s="230" t="s">
        <v>139</v>
      </c>
      <c r="AI93" s="232"/>
      <c r="AJ93" s="230" t="s">
        <v>104</v>
      </c>
      <c r="AK93" s="232"/>
      <c r="AL93" s="232"/>
      <c r="AM93" s="232"/>
      <c r="AN93" s="232"/>
      <c r="AO93" s="232"/>
      <c r="AP93" s="234"/>
      <c r="AQ93" s="232"/>
      <c r="AR93" s="232"/>
      <c r="AS93" s="232"/>
      <c r="AT93" s="232"/>
      <c r="AU93" s="232"/>
      <c r="AV93" s="232"/>
      <c r="AW93" s="232"/>
      <c r="AX93" s="233"/>
      <c r="AY93" s="232"/>
      <c r="AZ93" s="233"/>
      <c r="BA93" s="232"/>
      <c r="BB93" s="232"/>
      <c r="BC93" s="218" t="str">
        <f t="shared" si="7"/>
        <v/>
      </c>
      <c r="BD93" s="210" t="str">
        <f t="shared" si="8"/>
        <v>INDENIZAÇÃO</v>
      </c>
      <c r="BE93" s="210" t="str">
        <f t="shared" si="9"/>
        <v>NÃO</v>
      </c>
      <c r="BF93" s="210"/>
      <c r="BG93" s="210"/>
      <c r="BH93" s="210"/>
      <c r="BI93" s="210"/>
      <c r="BJ93" s="210"/>
      <c r="BK93" s="210"/>
      <c r="BL93" s="210"/>
      <c r="BM93" s="210"/>
      <c r="BN93" s="210"/>
      <c r="BO93" s="210"/>
      <c r="BP93" s="210"/>
      <c r="BQ93" s="210"/>
      <c r="BR93" s="210"/>
      <c r="BS93" s="210"/>
      <c r="BT93" s="210"/>
      <c r="BU93" s="210"/>
      <c r="BV93" s="210"/>
      <c r="BW93" s="210"/>
      <c r="BX93" s="210"/>
      <c r="BY93" s="210"/>
      <c r="BZ93" s="212"/>
    </row>
    <row r="94" spans="1:162" s="211" customFormat="1" ht="35.25" customHeight="1" x14ac:dyDescent="0.25">
      <c r="A94" s="210">
        <v>81</v>
      </c>
      <c r="B94" s="210" t="s">
        <v>99</v>
      </c>
      <c r="C94" s="210">
        <v>3</v>
      </c>
      <c r="D94" s="210">
        <v>0</v>
      </c>
      <c r="E94" s="210">
        <v>0</v>
      </c>
      <c r="F94" s="270" t="s">
        <v>539</v>
      </c>
      <c r="G94" s="220" t="s">
        <v>1</v>
      </c>
      <c r="H94" s="220" t="s">
        <v>2</v>
      </c>
      <c r="I94" s="220" t="s">
        <v>121</v>
      </c>
      <c r="J94" s="270" t="s">
        <v>540</v>
      </c>
      <c r="K94" s="270" t="s">
        <v>541</v>
      </c>
      <c r="L94" s="270" t="s">
        <v>542</v>
      </c>
      <c r="M94" s="232" t="s">
        <v>4</v>
      </c>
      <c r="N94" s="220" t="s">
        <v>14</v>
      </c>
      <c r="O94" s="213">
        <v>45467</v>
      </c>
      <c r="P94" s="251" t="s">
        <v>543</v>
      </c>
      <c r="Q94" s="213" t="s">
        <v>114</v>
      </c>
      <c r="R94" s="213" t="s">
        <v>105</v>
      </c>
      <c r="S94" s="213" t="s">
        <v>105</v>
      </c>
      <c r="T94" s="213" t="s">
        <v>105</v>
      </c>
      <c r="U94" s="251">
        <v>45385</v>
      </c>
      <c r="V94" s="213" t="s">
        <v>105</v>
      </c>
      <c r="W94" s="251">
        <v>45385</v>
      </c>
      <c r="X94" s="251">
        <v>45404</v>
      </c>
      <c r="Y94" s="251">
        <v>45414</v>
      </c>
      <c r="Z94" s="251"/>
      <c r="AA94" s="232"/>
      <c r="AB94" s="270" t="s">
        <v>544</v>
      </c>
      <c r="AC94" s="270" t="s">
        <v>545</v>
      </c>
      <c r="AD94" s="270" t="s">
        <v>546</v>
      </c>
      <c r="AE94" s="220" t="s">
        <v>547</v>
      </c>
      <c r="AF94" s="232" t="s">
        <v>4</v>
      </c>
      <c r="AG94" s="291">
        <v>47600</v>
      </c>
      <c r="AH94" s="291">
        <v>47600</v>
      </c>
      <c r="AI94" s="232" t="s">
        <v>6</v>
      </c>
      <c r="AJ94" s="230" t="s">
        <v>104</v>
      </c>
      <c r="AK94" s="232" t="s">
        <v>105</v>
      </c>
      <c r="AL94" s="210" t="s">
        <v>105</v>
      </c>
      <c r="AM94" s="210" t="s">
        <v>105</v>
      </c>
      <c r="AN94" s="210" t="s">
        <v>106</v>
      </c>
      <c r="AO94" s="232"/>
      <c r="AP94" s="234" t="s">
        <v>548</v>
      </c>
      <c r="AQ94" s="210" t="s">
        <v>105</v>
      </c>
      <c r="AR94" s="210" t="s">
        <v>105</v>
      </c>
      <c r="AS94" s="210" t="s">
        <v>105</v>
      </c>
      <c r="AT94" s="210" t="s">
        <v>105</v>
      </c>
      <c r="AU94" s="233">
        <v>45558</v>
      </c>
      <c r="AV94" s="210" t="s">
        <v>105</v>
      </c>
      <c r="AW94" s="210" t="s">
        <v>105</v>
      </c>
      <c r="AX94" s="233">
        <v>45561</v>
      </c>
      <c r="AY94" s="221">
        <v>45561</v>
      </c>
      <c r="AZ94" s="221" t="s">
        <v>220</v>
      </c>
      <c r="BA94" s="235" t="s">
        <v>502</v>
      </c>
      <c r="BB94" s="217" t="s">
        <v>105</v>
      </c>
      <c r="BC94" s="218">
        <f t="shared" si="7"/>
        <v>94</v>
      </c>
      <c r="BD94" s="210" t="str">
        <f t="shared" si="8"/>
        <v>INDENIZAÇÃO</v>
      </c>
      <c r="BE94" s="210" t="str">
        <f t="shared" si="9"/>
        <v>NÃO</v>
      </c>
      <c r="BF94" s="210" t="s">
        <v>24</v>
      </c>
      <c r="BG94" s="210" t="s">
        <v>24</v>
      </c>
      <c r="BH94" s="210" t="s">
        <v>24</v>
      </c>
      <c r="BI94" s="210" t="s">
        <v>105</v>
      </c>
      <c r="BJ94" s="210" t="s">
        <v>105</v>
      </c>
      <c r="BK94" s="213">
        <v>45621</v>
      </c>
      <c r="BL94" s="210" t="s">
        <v>105</v>
      </c>
      <c r="BM94" s="241" t="s">
        <v>220</v>
      </c>
      <c r="BN94" s="210"/>
      <c r="BO94" s="210"/>
      <c r="BP94" s="210"/>
      <c r="BQ94" s="210"/>
      <c r="BR94" s="210"/>
      <c r="BS94" s="210"/>
      <c r="BT94" s="210"/>
      <c r="BU94" s="210"/>
      <c r="BV94" s="210"/>
      <c r="BW94" s="210"/>
      <c r="BX94" s="210"/>
      <c r="BY94" s="210"/>
      <c r="BZ94" s="212"/>
    </row>
    <row r="95" spans="1:162" s="211" customFormat="1" ht="35.25" customHeight="1" x14ac:dyDescent="0.25">
      <c r="A95" s="210">
        <v>82</v>
      </c>
      <c r="B95" s="210" t="s">
        <v>99</v>
      </c>
      <c r="C95" s="210">
        <v>3</v>
      </c>
      <c r="D95" s="210">
        <v>0</v>
      </c>
      <c r="E95" s="210">
        <v>0</v>
      </c>
      <c r="F95" s="270" t="s">
        <v>549</v>
      </c>
      <c r="G95" s="220" t="s">
        <v>1</v>
      </c>
      <c r="H95" s="220" t="s">
        <v>2</v>
      </c>
      <c r="I95" s="220" t="s">
        <v>121</v>
      </c>
      <c r="J95" s="270" t="s">
        <v>550</v>
      </c>
      <c r="K95" s="270" t="s">
        <v>551</v>
      </c>
      <c r="L95" s="270" t="s">
        <v>552</v>
      </c>
      <c r="M95" s="232" t="s">
        <v>4</v>
      </c>
      <c r="N95" s="220" t="s">
        <v>14</v>
      </c>
      <c r="O95" s="213">
        <v>45467</v>
      </c>
      <c r="P95" s="251" t="s">
        <v>543</v>
      </c>
      <c r="Q95" s="213" t="s">
        <v>114</v>
      </c>
      <c r="R95" s="213" t="s">
        <v>105</v>
      </c>
      <c r="S95" s="213" t="s">
        <v>105</v>
      </c>
      <c r="T95" s="213" t="s">
        <v>105</v>
      </c>
      <c r="U95" s="251">
        <v>45385</v>
      </c>
      <c r="V95" s="213" t="s">
        <v>105</v>
      </c>
      <c r="W95" s="251">
        <v>45385</v>
      </c>
      <c r="X95" s="251">
        <v>45404</v>
      </c>
      <c r="Y95" s="251">
        <v>45406</v>
      </c>
      <c r="Z95" s="251"/>
      <c r="AA95" s="232"/>
      <c r="AB95" s="270" t="s">
        <v>553</v>
      </c>
      <c r="AC95" s="270" t="s">
        <v>554</v>
      </c>
      <c r="AD95" s="270" t="s">
        <v>555</v>
      </c>
      <c r="AE95" s="220" t="s">
        <v>547</v>
      </c>
      <c r="AF95" s="232" t="s">
        <v>4</v>
      </c>
      <c r="AG95" s="291">
        <v>23500</v>
      </c>
      <c r="AH95" s="291">
        <v>23500</v>
      </c>
      <c r="AI95" s="232" t="s">
        <v>6</v>
      </c>
      <c r="AJ95" s="230" t="s">
        <v>104</v>
      </c>
      <c r="AK95" s="232" t="s">
        <v>105</v>
      </c>
      <c r="AL95" s="210" t="s">
        <v>105</v>
      </c>
      <c r="AM95" s="210" t="s">
        <v>105</v>
      </c>
      <c r="AN95" s="210" t="s">
        <v>106</v>
      </c>
      <c r="AO95" s="232"/>
      <c r="AP95" s="234" t="s">
        <v>556</v>
      </c>
      <c r="AQ95" s="210" t="s">
        <v>105</v>
      </c>
      <c r="AR95" s="210" t="s">
        <v>105</v>
      </c>
      <c r="AS95" s="210" t="s">
        <v>105</v>
      </c>
      <c r="AT95" s="210" t="s">
        <v>105</v>
      </c>
      <c r="AU95" s="233">
        <v>45569</v>
      </c>
      <c r="AV95" s="210" t="s">
        <v>105</v>
      </c>
      <c r="AW95" s="210" t="s">
        <v>105</v>
      </c>
      <c r="AX95" s="233">
        <v>45579</v>
      </c>
      <c r="AY95" s="221">
        <v>45579</v>
      </c>
      <c r="AZ95" s="221" t="s">
        <v>220</v>
      </c>
      <c r="BA95" s="241" t="s">
        <v>502</v>
      </c>
      <c r="BB95" s="217" t="s">
        <v>105</v>
      </c>
      <c r="BC95" s="218">
        <f t="shared" si="7"/>
        <v>112</v>
      </c>
      <c r="BD95" s="210" t="str">
        <f t="shared" si="8"/>
        <v>INDENIZAÇÃO</v>
      </c>
      <c r="BE95" s="210" t="str">
        <f t="shared" si="9"/>
        <v>NÃO</v>
      </c>
      <c r="BF95" s="210" t="s">
        <v>24</v>
      </c>
      <c r="BG95" s="210" t="s">
        <v>24</v>
      </c>
      <c r="BH95" s="210" t="s">
        <v>24</v>
      </c>
      <c r="BI95" s="210" t="s">
        <v>105</v>
      </c>
      <c r="BJ95" s="210" t="s">
        <v>105</v>
      </c>
      <c r="BK95" s="213">
        <v>45621</v>
      </c>
      <c r="BL95" s="210" t="s">
        <v>105</v>
      </c>
      <c r="BM95" s="241" t="s">
        <v>220</v>
      </c>
      <c r="BN95" s="210"/>
      <c r="BO95" s="210"/>
      <c r="BP95" s="210"/>
      <c r="BQ95" s="210"/>
      <c r="BR95" s="210"/>
      <c r="BS95" s="210"/>
      <c r="BT95" s="210"/>
      <c r="BU95" s="210"/>
      <c r="BV95" s="210"/>
      <c r="BW95" s="210"/>
      <c r="BX95" s="210"/>
      <c r="BY95" s="210"/>
      <c r="BZ95" s="212"/>
    </row>
    <row r="96" spans="1:162" s="211" customFormat="1" ht="35.25" hidden="1" customHeight="1" x14ac:dyDescent="0.25">
      <c r="A96" s="210">
        <v>83</v>
      </c>
      <c r="B96" s="210" t="s">
        <v>99</v>
      </c>
      <c r="C96" s="210">
        <v>3</v>
      </c>
      <c r="D96" s="210">
        <v>0</v>
      </c>
      <c r="E96" s="210">
        <v>0</v>
      </c>
      <c r="F96" s="219" t="s">
        <v>557</v>
      </c>
      <c r="G96" s="210" t="s">
        <v>1</v>
      </c>
      <c r="H96" s="210" t="s">
        <v>2</v>
      </c>
      <c r="I96" s="210" t="s">
        <v>12</v>
      </c>
      <c r="J96" s="219" t="s">
        <v>558</v>
      </c>
      <c r="K96" s="219" t="s">
        <v>559</v>
      </c>
      <c r="L96" s="219" t="s">
        <v>560</v>
      </c>
      <c r="M96" s="232" t="s">
        <v>4</v>
      </c>
      <c r="N96" s="220" t="s">
        <v>14</v>
      </c>
      <c r="O96" s="213">
        <v>45019</v>
      </c>
      <c r="P96" s="233">
        <v>45435</v>
      </c>
      <c r="Q96" s="213" t="s">
        <v>114</v>
      </c>
      <c r="R96" s="213" t="s">
        <v>105</v>
      </c>
      <c r="S96" s="213" t="s">
        <v>105</v>
      </c>
      <c r="T96" s="213" t="s">
        <v>105</v>
      </c>
      <c r="U96" s="233">
        <v>45475</v>
      </c>
      <c r="V96" s="213" t="s">
        <v>105</v>
      </c>
      <c r="W96" s="233"/>
      <c r="X96" s="233">
        <v>45492</v>
      </c>
      <c r="Y96" s="233"/>
      <c r="Z96" s="233"/>
      <c r="AA96" s="232"/>
      <c r="AB96" s="219" t="s">
        <v>558</v>
      </c>
      <c r="AC96" s="219" t="s">
        <v>559</v>
      </c>
      <c r="AD96" s="219" t="s">
        <v>560</v>
      </c>
      <c r="AE96" s="220" t="s">
        <v>12</v>
      </c>
      <c r="AF96" s="232" t="s">
        <v>4</v>
      </c>
      <c r="AG96" s="230" t="s">
        <v>139</v>
      </c>
      <c r="AH96" s="230" t="s">
        <v>139</v>
      </c>
      <c r="AI96" s="232"/>
      <c r="AJ96" s="230" t="s">
        <v>104</v>
      </c>
      <c r="AK96" s="232"/>
      <c r="AL96" s="232"/>
      <c r="AM96" s="232"/>
      <c r="AN96" s="232"/>
      <c r="AO96" s="232"/>
      <c r="AP96" s="234"/>
      <c r="AQ96" s="232"/>
      <c r="AR96" s="232"/>
      <c r="AS96" s="232"/>
      <c r="AT96" s="232"/>
      <c r="AU96" s="232"/>
      <c r="AV96" s="232"/>
      <c r="AW96" s="232"/>
      <c r="AX96" s="233"/>
      <c r="AY96" s="232"/>
      <c r="AZ96" s="233"/>
      <c r="BA96" s="232"/>
      <c r="BB96" s="232"/>
      <c r="BC96" s="218" t="str">
        <f t="shared" si="7"/>
        <v/>
      </c>
      <c r="BD96" s="210" t="str">
        <f t="shared" si="8"/>
        <v>INDENIZAÇÃO</v>
      </c>
      <c r="BE96" s="210" t="str">
        <f t="shared" si="9"/>
        <v>NÃO</v>
      </c>
      <c r="BF96" s="210"/>
      <c r="BG96" s="210"/>
      <c r="BH96" s="210"/>
      <c r="BI96" s="210"/>
      <c r="BJ96" s="210"/>
      <c r="BK96" s="210"/>
      <c r="BL96" s="210"/>
      <c r="BM96" s="210"/>
      <c r="BN96" s="210"/>
      <c r="BO96" s="210"/>
      <c r="BP96" s="210"/>
      <c r="BQ96" s="210"/>
      <c r="BR96" s="210"/>
      <c r="BS96" s="210"/>
      <c r="BT96" s="210"/>
      <c r="BU96" s="210"/>
      <c r="BV96" s="210"/>
      <c r="BW96" s="210"/>
      <c r="BX96" s="210"/>
      <c r="BY96" s="210"/>
      <c r="BZ96" s="212"/>
    </row>
    <row r="97" spans="1:162" s="211" customFormat="1" ht="35.25" customHeight="1" x14ac:dyDescent="0.25">
      <c r="A97" s="210">
        <v>84</v>
      </c>
      <c r="B97" s="210" t="s">
        <v>99</v>
      </c>
      <c r="C97" s="210">
        <v>3</v>
      </c>
      <c r="D97" s="210">
        <v>0</v>
      </c>
      <c r="E97" s="210">
        <v>0</v>
      </c>
      <c r="F97" s="219" t="s">
        <v>561</v>
      </c>
      <c r="G97" s="210" t="s">
        <v>10</v>
      </c>
      <c r="H97" s="210" t="s">
        <v>2</v>
      </c>
      <c r="I97" s="220" t="s">
        <v>3</v>
      </c>
      <c r="J97" s="219" t="s">
        <v>562</v>
      </c>
      <c r="K97" s="348" t="s">
        <v>563</v>
      </c>
      <c r="L97" s="219" t="s">
        <v>564</v>
      </c>
      <c r="M97" s="232" t="s">
        <v>4</v>
      </c>
      <c r="N97" s="220" t="s">
        <v>5</v>
      </c>
      <c r="O97" s="213">
        <v>45474</v>
      </c>
      <c r="P97" s="233" t="s">
        <v>24</v>
      </c>
      <c r="Q97" s="233" t="s">
        <v>24</v>
      </c>
      <c r="R97" s="233" t="s">
        <v>24</v>
      </c>
      <c r="S97" s="233" t="s">
        <v>24</v>
      </c>
      <c r="T97" s="233" t="s">
        <v>24</v>
      </c>
      <c r="U97" s="233" t="s">
        <v>24</v>
      </c>
      <c r="V97" s="233" t="s">
        <v>24</v>
      </c>
      <c r="W97" s="233" t="s">
        <v>24</v>
      </c>
      <c r="X97" s="233" t="s">
        <v>24</v>
      </c>
      <c r="Y97" s="233" t="s">
        <v>24</v>
      </c>
      <c r="Z97" s="233" t="s">
        <v>24</v>
      </c>
      <c r="AA97" s="232"/>
      <c r="AB97" s="219" t="s">
        <v>562</v>
      </c>
      <c r="AC97" s="348" t="s">
        <v>563</v>
      </c>
      <c r="AD97" s="219" t="s">
        <v>564</v>
      </c>
      <c r="AE97" s="210" t="s">
        <v>547</v>
      </c>
      <c r="AF97" s="232" t="s">
        <v>4</v>
      </c>
      <c r="AG97" s="230">
        <v>36400</v>
      </c>
      <c r="AH97" s="230">
        <v>60000</v>
      </c>
      <c r="AI97" s="232" t="s">
        <v>6</v>
      </c>
      <c r="AJ97" s="230" t="s">
        <v>104</v>
      </c>
      <c r="AK97" s="232" t="s">
        <v>105</v>
      </c>
      <c r="AL97" s="210" t="s">
        <v>105</v>
      </c>
      <c r="AM97" s="210" t="s">
        <v>105</v>
      </c>
      <c r="AN97" s="210" t="s">
        <v>106</v>
      </c>
      <c r="AO97" s="232"/>
      <c r="AP97" s="234" t="s">
        <v>565</v>
      </c>
      <c r="AQ97" s="228" t="s">
        <v>105</v>
      </c>
      <c r="AR97" s="210" t="s">
        <v>105</v>
      </c>
      <c r="AS97" s="210" t="s">
        <v>105</v>
      </c>
      <c r="AT97" s="210" t="s">
        <v>105</v>
      </c>
      <c r="AU97" s="213">
        <v>45537</v>
      </c>
      <c r="AV97" s="210" t="s">
        <v>105</v>
      </c>
      <c r="AW97" s="210" t="s">
        <v>105</v>
      </c>
      <c r="AX97" s="213">
        <v>45545</v>
      </c>
      <c r="AY97" s="221">
        <v>45545</v>
      </c>
      <c r="AZ97" s="221" t="s">
        <v>220</v>
      </c>
      <c r="BA97" s="235" t="s">
        <v>502</v>
      </c>
      <c r="BB97" s="217" t="s">
        <v>105</v>
      </c>
      <c r="BC97" s="218">
        <f t="shared" si="7"/>
        <v>71</v>
      </c>
      <c r="BD97" s="210" t="str">
        <f t="shared" si="8"/>
        <v>INDENIZAÇÃO</v>
      </c>
      <c r="BE97" s="210" t="str">
        <f t="shared" si="9"/>
        <v>NÃO</v>
      </c>
      <c r="BF97" s="210" t="s">
        <v>24</v>
      </c>
      <c r="BG97" s="210" t="s">
        <v>24</v>
      </c>
      <c r="BH97" s="210" t="s">
        <v>24</v>
      </c>
      <c r="BI97" s="210" t="s">
        <v>105</v>
      </c>
      <c r="BJ97" s="210" t="s">
        <v>105</v>
      </c>
      <c r="BK97" s="213">
        <v>45621</v>
      </c>
      <c r="BL97" s="210" t="s">
        <v>105</v>
      </c>
      <c r="BM97" s="241" t="s">
        <v>220</v>
      </c>
      <c r="BN97" s="232"/>
      <c r="BO97" s="232"/>
      <c r="BP97" s="232"/>
      <c r="BQ97" s="232"/>
      <c r="BR97" s="232"/>
      <c r="BS97" s="232"/>
      <c r="BT97" s="232"/>
      <c r="BU97" s="232"/>
      <c r="BV97" s="232"/>
      <c r="BW97" s="232"/>
      <c r="BX97" s="232"/>
      <c r="BY97" s="232"/>
      <c r="BZ97" s="309"/>
      <c r="CA97" s="310"/>
      <c r="CB97" s="310"/>
      <c r="CC97" s="310"/>
      <c r="CD97" s="310"/>
      <c r="CE97" s="310"/>
      <c r="CF97" s="310"/>
      <c r="CG97" s="310"/>
      <c r="CH97" s="310"/>
      <c r="CI97" s="310"/>
      <c r="CJ97" s="310"/>
      <c r="CK97" s="310"/>
      <c r="CL97" s="310"/>
      <c r="CM97" s="310"/>
      <c r="CN97" s="310"/>
      <c r="CO97" s="310"/>
      <c r="CP97" s="310"/>
      <c r="CQ97" s="310"/>
      <c r="CR97" s="310"/>
      <c r="CS97" s="310"/>
      <c r="CT97" s="310"/>
      <c r="CU97" s="310"/>
      <c r="CV97" s="310"/>
      <c r="CW97" s="310"/>
      <c r="CX97" s="310"/>
      <c r="CY97" s="310"/>
      <c r="CZ97" s="310"/>
      <c r="DA97" s="310"/>
      <c r="DB97" s="310"/>
      <c r="DC97" s="310"/>
      <c r="DD97" s="310"/>
      <c r="DE97" s="310"/>
      <c r="DF97" s="310"/>
      <c r="DG97" s="310"/>
      <c r="DH97" s="310"/>
      <c r="DI97" s="310"/>
      <c r="DJ97" s="310"/>
      <c r="DK97" s="310"/>
      <c r="DL97" s="310"/>
      <c r="DM97" s="310"/>
      <c r="DN97" s="310"/>
      <c r="DO97" s="310"/>
      <c r="DP97" s="310"/>
      <c r="DQ97" s="310"/>
      <c r="DR97" s="310"/>
      <c r="DS97" s="310"/>
      <c r="DT97" s="310"/>
      <c r="DU97" s="310"/>
      <c r="DV97" s="310"/>
      <c r="DW97" s="310"/>
      <c r="DX97" s="310"/>
      <c r="DY97" s="310"/>
      <c r="DZ97" s="310"/>
      <c r="EA97" s="310"/>
      <c r="EB97" s="310"/>
      <c r="EC97" s="310"/>
      <c r="ED97" s="310"/>
      <c r="EE97" s="310"/>
      <c r="EF97" s="310"/>
      <c r="EG97" s="310"/>
      <c r="EH97" s="310"/>
      <c r="EI97" s="310"/>
      <c r="EJ97" s="310"/>
      <c r="EK97" s="310"/>
      <c r="EL97" s="310"/>
      <c r="EM97" s="310"/>
      <c r="EN97" s="310"/>
      <c r="EO97" s="310"/>
      <c r="EP97" s="310"/>
      <c r="EQ97" s="310"/>
      <c r="ER97" s="310"/>
      <c r="ES97" s="310"/>
      <c r="ET97" s="310"/>
      <c r="EU97" s="310"/>
      <c r="EV97" s="310"/>
      <c r="EW97" s="310"/>
      <c r="EX97" s="310"/>
      <c r="EY97" s="310"/>
      <c r="EZ97" s="310"/>
      <c r="FA97" s="310"/>
      <c r="FB97" s="310"/>
      <c r="FC97" s="310"/>
      <c r="FD97" s="310"/>
      <c r="FE97" s="310"/>
      <c r="FF97" s="310"/>
    </row>
    <row r="98" spans="1:162" s="211" customFormat="1" ht="35.25" customHeight="1" x14ac:dyDescent="0.25">
      <c r="A98" s="210">
        <v>85</v>
      </c>
      <c r="B98" s="210" t="s">
        <v>99</v>
      </c>
      <c r="C98" s="210">
        <v>3</v>
      </c>
      <c r="D98" s="210">
        <v>0</v>
      </c>
      <c r="E98" s="210">
        <v>0</v>
      </c>
      <c r="F98" s="219" t="s">
        <v>566</v>
      </c>
      <c r="G98" s="210" t="s">
        <v>1</v>
      </c>
      <c r="H98" s="210" t="s">
        <v>2</v>
      </c>
      <c r="I98" s="210" t="s">
        <v>12</v>
      </c>
      <c r="J98" s="219" t="s">
        <v>567</v>
      </c>
      <c r="K98" s="219" t="s">
        <v>568</v>
      </c>
      <c r="L98" s="219" t="s">
        <v>569</v>
      </c>
      <c r="M98" s="232" t="s">
        <v>4</v>
      </c>
      <c r="N98" s="220" t="s">
        <v>5</v>
      </c>
      <c r="O98" s="213">
        <v>45467</v>
      </c>
      <c r="P98" s="233" t="s">
        <v>24</v>
      </c>
      <c r="Q98" s="233" t="s">
        <v>24</v>
      </c>
      <c r="R98" s="233" t="s">
        <v>24</v>
      </c>
      <c r="S98" s="233" t="s">
        <v>24</v>
      </c>
      <c r="T98" s="233" t="s">
        <v>24</v>
      </c>
      <c r="U98" s="233" t="s">
        <v>24</v>
      </c>
      <c r="V98" s="233" t="s">
        <v>24</v>
      </c>
      <c r="W98" s="233" t="s">
        <v>24</v>
      </c>
      <c r="X98" s="233" t="s">
        <v>24</v>
      </c>
      <c r="Y98" s="233" t="s">
        <v>24</v>
      </c>
      <c r="Z98" s="233" t="s">
        <v>24</v>
      </c>
      <c r="AA98" s="232"/>
      <c r="AB98" s="219" t="s">
        <v>567</v>
      </c>
      <c r="AC98" s="219" t="s">
        <v>568</v>
      </c>
      <c r="AD98" s="219" t="s">
        <v>569</v>
      </c>
      <c r="AE98" s="220" t="s">
        <v>12</v>
      </c>
      <c r="AF98" s="232" t="s">
        <v>4</v>
      </c>
      <c r="AG98" s="230">
        <v>82000</v>
      </c>
      <c r="AH98" s="230">
        <v>82000</v>
      </c>
      <c r="AI98" s="232" t="s">
        <v>6</v>
      </c>
      <c r="AJ98" s="230" t="s">
        <v>104</v>
      </c>
      <c r="AK98" s="232" t="s">
        <v>105</v>
      </c>
      <c r="AL98" s="210" t="s">
        <v>105</v>
      </c>
      <c r="AM98" s="210" t="s">
        <v>105</v>
      </c>
      <c r="AN98" s="210" t="s">
        <v>106</v>
      </c>
      <c r="AO98" s="232"/>
      <c r="AP98" s="234" t="s">
        <v>570</v>
      </c>
      <c r="AQ98" s="228" t="s">
        <v>105</v>
      </c>
      <c r="AR98" s="210" t="s">
        <v>105</v>
      </c>
      <c r="AS98" s="210" t="s">
        <v>105</v>
      </c>
      <c r="AT98" s="210" t="s">
        <v>105</v>
      </c>
      <c r="AU98" s="213">
        <v>45537</v>
      </c>
      <c r="AV98" s="210" t="s">
        <v>105</v>
      </c>
      <c r="AW98" s="210" t="s">
        <v>105</v>
      </c>
      <c r="AX98" s="213">
        <v>45545</v>
      </c>
      <c r="AY98" s="221">
        <v>45545</v>
      </c>
      <c r="AZ98" s="221" t="s">
        <v>220</v>
      </c>
      <c r="BA98" s="235" t="s">
        <v>502</v>
      </c>
      <c r="BB98" s="217" t="s">
        <v>105</v>
      </c>
      <c r="BC98" s="218">
        <f t="shared" si="7"/>
        <v>78</v>
      </c>
      <c r="BD98" s="210" t="str">
        <f t="shared" si="8"/>
        <v>INDENIZAÇÃO</v>
      </c>
      <c r="BE98" s="210" t="str">
        <f t="shared" si="9"/>
        <v>NÃO</v>
      </c>
      <c r="BF98" s="210" t="s">
        <v>24</v>
      </c>
      <c r="BG98" s="210" t="s">
        <v>24</v>
      </c>
      <c r="BH98" s="210" t="s">
        <v>24</v>
      </c>
      <c r="BI98" s="210" t="s">
        <v>105</v>
      </c>
      <c r="BJ98" s="210" t="s">
        <v>105</v>
      </c>
      <c r="BK98" s="213">
        <v>45621</v>
      </c>
      <c r="BL98" s="210" t="s">
        <v>105</v>
      </c>
      <c r="BM98" s="241" t="s">
        <v>220</v>
      </c>
      <c r="BN98" s="232"/>
      <c r="BO98" s="232"/>
      <c r="BP98" s="232"/>
      <c r="BQ98" s="232"/>
      <c r="BR98" s="232"/>
      <c r="BS98" s="232"/>
      <c r="BT98" s="232"/>
      <c r="BU98" s="232"/>
      <c r="BV98" s="232"/>
      <c r="BW98" s="232"/>
      <c r="BX98" s="232"/>
      <c r="BY98" s="232"/>
      <c r="BZ98" s="309"/>
      <c r="CA98" s="310"/>
      <c r="CB98" s="310"/>
      <c r="CC98" s="310"/>
      <c r="CD98" s="310"/>
      <c r="CE98" s="310"/>
      <c r="CF98" s="310"/>
      <c r="CG98" s="310"/>
      <c r="CH98" s="310"/>
      <c r="CI98" s="310"/>
      <c r="CJ98" s="310"/>
      <c r="CK98" s="310"/>
      <c r="CL98" s="310"/>
      <c r="CM98" s="310"/>
      <c r="CN98" s="310"/>
      <c r="CO98" s="310"/>
      <c r="CP98" s="310"/>
      <c r="CQ98" s="310"/>
      <c r="CR98" s="310"/>
      <c r="CS98" s="310"/>
      <c r="CT98" s="310"/>
      <c r="CU98" s="310"/>
      <c r="CV98" s="310"/>
      <c r="CW98" s="310"/>
      <c r="CX98" s="310"/>
      <c r="CY98" s="310"/>
      <c r="CZ98" s="310"/>
      <c r="DA98" s="310"/>
      <c r="DB98" s="310"/>
      <c r="DC98" s="310"/>
      <c r="DD98" s="310"/>
      <c r="DE98" s="310"/>
      <c r="DF98" s="310"/>
      <c r="DG98" s="310"/>
      <c r="DH98" s="310"/>
      <c r="DI98" s="310"/>
      <c r="DJ98" s="310"/>
      <c r="DK98" s="310"/>
      <c r="DL98" s="310"/>
      <c r="DM98" s="310"/>
      <c r="DN98" s="310"/>
      <c r="DO98" s="310"/>
      <c r="DP98" s="310"/>
      <c r="DQ98" s="310"/>
      <c r="DR98" s="310"/>
      <c r="DS98" s="310"/>
      <c r="DT98" s="310"/>
      <c r="DU98" s="310"/>
      <c r="DV98" s="310"/>
      <c r="DW98" s="310"/>
      <c r="DX98" s="310"/>
      <c r="DY98" s="310"/>
      <c r="DZ98" s="310"/>
      <c r="EA98" s="310"/>
      <c r="EB98" s="310"/>
      <c r="EC98" s="310"/>
      <c r="ED98" s="310"/>
      <c r="EE98" s="310"/>
      <c r="EF98" s="310"/>
      <c r="EG98" s="310"/>
      <c r="EH98" s="310"/>
      <c r="EI98" s="310"/>
      <c r="EJ98" s="310"/>
      <c r="EK98" s="310"/>
      <c r="EL98" s="310"/>
      <c r="EM98" s="310"/>
      <c r="EN98" s="310"/>
      <c r="EO98" s="310"/>
      <c r="EP98" s="310"/>
      <c r="EQ98" s="310"/>
      <c r="ER98" s="310"/>
      <c r="ES98" s="310"/>
      <c r="ET98" s="310"/>
      <c r="EU98" s="310"/>
      <c r="EV98" s="310"/>
      <c r="EW98" s="310"/>
      <c r="EX98" s="310"/>
      <c r="EY98" s="310"/>
      <c r="EZ98" s="310"/>
      <c r="FA98" s="310"/>
      <c r="FB98" s="310"/>
      <c r="FC98" s="310"/>
      <c r="FD98" s="310"/>
      <c r="FE98" s="310"/>
      <c r="FF98" s="310"/>
    </row>
    <row r="99" spans="1:162" s="211" customFormat="1" ht="35.25" customHeight="1" x14ac:dyDescent="0.25">
      <c r="A99" s="210">
        <v>86</v>
      </c>
      <c r="B99" s="210" t="s">
        <v>99</v>
      </c>
      <c r="C99" s="210">
        <v>3</v>
      </c>
      <c r="D99" s="210">
        <v>0</v>
      </c>
      <c r="E99" s="210">
        <v>0</v>
      </c>
      <c r="F99" s="219" t="s">
        <v>571</v>
      </c>
      <c r="G99" s="210" t="s">
        <v>1</v>
      </c>
      <c r="H99" s="210" t="s">
        <v>2</v>
      </c>
      <c r="I99" s="210" t="s">
        <v>12</v>
      </c>
      <c r="J99" s="219" t="s">
        <v>572</v>
      </c>
      <c r="K99" s="219" t="s">
        <v>573</v>
      </c>
      <c r="L99" s="219" t="s">
        <v>574</v>
      </c>
      <c r="M99" s="232" t="s">
        <v>529</v>
      </c>
      <c r="N99" s="220" t="s">
        <v>5</v>
      </c>
      <c r="O99" s="213">
        <v>45467</v>
      </c>
      <c r="P99" s="233" t="s">
        <v>24</v>
      </c>
      <c r="Q99" s="233" t="s">
        <v>24</v>
      </c>
      <c r="R99" s="233" t="s">
        <v>24</v>
      </c>
      <c r="S99" s="233" t="s">
        <v>24</v>
      </c>
      <c r="T99" s="233" t="s">
        <v>24</v>
      </c>
      <c r="U99" s="233" t="s">
        <v>24</v>
      </c>
      <c r="V99" s="233" t="s">
        <v>24</v>
      </c>
      <c r="W99" s="233" t="s">
        <v>24</v>
      </c>
      <c r="X99" s="233" t="s">
        <v>24</v>
      </c>
      <c r="Y99" s="233" t="s">
        <v>24</v>
      </c>
      <c r="Z99" s="233" t="s">
        <v>24</v>
      </c>
      <c r="AA99" s="232"/>
      <c r="AB99" s="219" t="s">
        <v>572</v>
      </c>
      <c r="AC99" s="219" t="s">
        <v>573</v>
      </c>
      <c r="AD99" s="219" t="s">
        <v>574</v>
      </c>
      <c r="AE99" s="220" t="s">
        <v>12</v>
      </c>
      <c r="AF99" s="232" t="s">
        <v>4</v>
      </c>
      <c r="AG99" s="230">
        <v>70200</v>
      </c>
      <c r="AH99" s="230">
        <v>70200</v>
      </c>
      <c r="AI99" s="232" t="s">
        <v>6</v>
      </c>
      <c r="AJ99" s="230" t="s">
        <v>104</v>
      </c>
      <c r="AK99" s="232" t="s">
        <v>105</v>
      </c>
      <c r="AL99" s="210" t="s">
        <v>105</v>
      </c>
      <c r="AM99" s="210" t="s">
        <v>105</v>
      </c>
      <c r="AN99" s="210" t="s">
        <v>106</v>
      </c>
      <c r="AO99" s="232"/>
      <c r="AP99" s="234" t="s">
        <v>575</v>
      </c>
      <c r="AQ99" s="228" t="s">
        <v>105</v>
      </c>
      <c r="AR99" s="210" t="s">
        <v>105</v>
      </c>
      <c r="AS99" s="210" t="s">
        <v>105</v>
      </c>
      <c r="AT99" s="210" t="s">
        <v>105</v>
      </c>
      <c r="AU99" s="213">
        <v>45537</v>
      </c>
      <c r="AV99" s="210" t="s">
        <v>105</v>
      </c>
      <c r="AW99" s="210" t="s">
        <v>105</v>
      </c>
      <c r="AX99" s="213">
        <v>45545</v>
      </c>
      <c r="AY99" s="221">
        <v>45545</v>
      </c>
      <c r="AZ99" s="221" t="s">
        <v>220</v>
      </c>
      <c r="BA99" s="235" t="s">
        <v>502</v>
      </c>
      <c r="BB99" s="217" t="s">
        <v>105</v>
      </c>
      <c r="BC99" s="218">
        <f t="shared" si="7"/>
        <v>78</v>
      </c>
      <c r="BD99" s="210" t="str">
        <f t="shared" si="8"/>
        <v>INDENIZAÇÃO</v>
      </c>
      <c r="BE99" s="210" t="str">
        <f t="shared" si="9"/>
        <v>NÃO</v>
      </c>
      <c r="BF99" s="210" t="s">
        <v>24</v>
      </c>
      <c r="BG99" s="210" t="s">
        <v>24</v>
      </c>
      <c r="BH99" s="210" t="s">
        <v>24</v>
      </c>
      <c r="BI99" s="210" t="s">
        <v>105</v>
      </c>
      <c r="BJ99" s="210" t="s">
        <v>105</v>
      </c>
      <c r="BK99" s="213">
        <v>45621</v>
      </c>
      <c r="BL99" s="210" t="s">
        <v>105</v>
      </c>
      <c r="BM99" s="241" t="s">
        <v>220</v>
      </c>
      <c r="BN99" s="210"/>
      <c r="BO99" s="210"/>
      <c r="BP99" s="210"/>
      <c r="BQ99" s="210"/>
      <c r="BR99" s="210"/>
      <c r="BS99" s="210"/>
      <c r="BT99" s="210"/>
      <c r="BU99" s="210"/>
      <c r="BV99" s="210"/>
      <c r="BW99" s="210"/>
      <c r="BX99" s="210"/>
      <c r="BY99" s="210"/>
      <c r="BZ99" s="212"/>
    </row>
    <row r="100" spans="1:162" s="211" customFormat="1" ht="35.25" customHeight="1" x14ac:dyDescent="0.25">
      <c r="A100" s="210">
        <v>87</v>
      </c>
      <c r="B100" s="210" t="s">
        <v>99</v>
      </c>
      <c r="C100" s="210">
        <v>3</v>
      </c>
      <c r="D100" s="210">
        <v>0</v>
      </c>
      <c r="E100" s="210">
        <v>0</v>
      </c>
      <c r="F100" s="219" t="s">
        <v>576</v>
      </c>
      <c r="G100" s="210" t="s">
        <v>1</v>
      </c>
      <c r="H100" s="210" t="s">
        <v>2</v>
      </c>
      <c r="I100" s="210" t="s">
        <v>12</v>
      </c>
      <c r="J100" s="219" t="s">
        <v>577</v>
      </c>
      <c r="K100" s="219" t="s">
        <v>578</v>
      </c>
      <c r="L100" s="219" t="s">
        <v>579</v>
      </c>
      <c r="M100" s="232" t="s">
        <v>4</v>
      </c>
      <c r="N100" s="220" t="s">
        <v>5</v>
      </c>
      <c r="O100" s="213">
        <v>45467</v>
      </c>
      <c r="P100" s="233" t="s">
        <v>24</v>
      </c>
      <c r="Q100" s="233" t="s">
        <v>24</v>
      </c>
      <c r="R100" s="233" t="s">
        <v>24</v>
      </c>
      <c r="S100" s="233" t="s">
        <v>24</v>
      </c>
      <c r="T100" s="233" t="s">
        <v>24</v>
      </c>
      <c r="U100" s="233" t="s">
        <v>24</v>
      </c>
      <c r="V100" s="233" t="s">
        <v>24</v>
      </c>
      <c r="W100" s="233" t="s">
        <v>24</v>
      </c>
      <c r="X100" s="233" t="s">
        <v>24</v>
      </c>
      <c r="Y100" s="233" t="s">
        <v>24</v>
      </c>
      <c r="Z100" s="233" t="s">
        <v>24</v>
      </c>
      <c r="AA100" s="232"/>
      <c r="AB100" s="219" t="s">
        <v>577</v>
      </c>
      <c r="AC100" s="219" t="s">
        <v>578</v>
      </c>
      <c r="AD100" s="219" t="s">
        <v>579</v>
      </c>
      <c r="AE100" s="220" t="s">
        <v>12</v>
      </c>
      <c r="AF100" s="232" t="s">
        <v>4</v>
      </c>
      <c r="AG100" s="230">
        <v>47400</v>
      </c>
      <c r="AH100" s="230">
        <v>60000</v>
      </c>
      <c r="AI100" s="232" t="s">
        <v>6</v>
      </c>
      <c r="AJ100" s="230" t="s">
        <v>104</v>
      </c>
      <c r="AK100" s="232" t="s">
        <v>105</v>
      </c>
      <c r="AL100" s="210" t="s">
        <v>105</v>
      </c>
      <c r="AM100" s="210" t="s">
        <v>105</v>
      </c>
      <c r="AN100" s="210" t="s">
        <v>106</v>
      </c>
      <c r="AO100" s="232"/>
      <c r="AP100" s="234" t="s">
        <v>580</v>
      </c>
      <c r="AQ100" s="228" t="s">
        <v>105</v>
      </c>
      <c r="AR100" s="210" t="s">
        <v>105</v>
      </c>
      <c r="AS100" s="210" t="s">
        <v>105</v>
      </c>
      <c r="AT100" s="210" t="s">
        <v>105</v>
      </c>
      <c r="AU100" s="213">
        <v>45537</v>
      </c>
      <c r="AV100" s="210" t="s">
        <v>105</v>
      </c>
      <c r="AW100" s="210" t="s">
        <v>105</v>
      </c>
      <c r="AX100" s="213">
        <v>45545</v>
      </c>
      <c r="AY100" s="221">
        <v>45545</v>
      </c>
      <c r="AZ100" s="221" t="s">
        <v>220</v>
      </c>
      <c r="BA100" s="235" t="s">
        <v>502</v>
      </c>
      <c r="BB100" s="217" t="s">
        <v>105</v>
      </c>
      <c r="BC100" s="218">
        <f t="shared" si="7"/>
        <v>78</v>
      </c>
      <c r="BD100" s="210" t="str">
        <f t="shared" si="8"/>
        <v>INDENIZAÇÃO</v>
      </c>
      <c r="BE100" s="210" t="str">
        <f t="shared" si="9"/>
        <v>NÃO</v>
      </c>
      <c r="BF100" s="210" t="s">
        <v>24</v>
      </c>
      <c r="BG100" s="210" t="s">
        <v>24</v>
      </c>
      <c r="BH100" s="210" t="s">
        <v>24</v>
      </c>
      <c r="BI100" s="210" t="s">
        <v>105</v>
      </c>
      <c r="BJ100" s="210" t="s">
        <v>105</v>
      </c>
      <c r="BK100" s="213">
        <v>45621</v>
      </c>
      <c r="BL100" s="210" t="s">
        <v>105</v>
      </c>
      <c r="BM100" s="241" t="s">
        <v>220</v>
      </c>
      <c r="BN100" s="210"/>
      <c r="BO100" s="210"/>
      <c r="BP100" s="232"/>
      <c r="BQ100" s="232"/>
      <c r="BR100" s="232"/>
      <c r="BS100" s="232"/>
      <c r="BT100" s="232"/>
      <c r="BU100" s="232"/>
      <c r="BV100" s="232"/>
      <c r="BW100" s="232"/>
      <c r="BX100" s="232"/>
      <c r="BY100" s="232"/>
      <c r="BZ100" s="309"/>
      <c r="CA100" s="310"/>
      <c r="CB100" s="310"/>
      <c r="CC100" s="310"/>
      <c r="CD100" s="310"/>
      <c r="CE100" s="310"/>
      <c r="CF100" s="310"/>
      <c r="CG100" s="310"/>
      <c r="CH100" s="310"/>
      <c r="CI100" s="310"/>
      <c r="CJ100" s="310"/>
      <c r="CK100" s="310"/>
      <c r="CL100" s="310"/>
      <c r="CM100" s="310"/>
      <c r="CN100" s="310"/>
      <c r="CO100" s="310"/>
      <c r="CP100" s="310"/>
      <c r="CQ100" s="310"/>
      <c r="CR100" s="310"/>
      <c r="CS100" s="310"/>
      <c r="CT100" s="310"/>
      <c r="CU100" s="310"/>
      <c r="CV100" s="310"/>
      <c r="CW100" s="310"/>
      <c r="CX100" s="310"/>
      <c r="CY100" s="310"/>
      <c r="CZ100" s="310"/>
      <c r="DA100" s="310"/>
      <c r="DB100" s="310"/>
      <c r="DC100" s="310"/>
      <c r="DD100" s="310"/>
      <c r="DE100" s="310"/>
      <c r="DF100" s="310"/>
      <c r="DG100" s="310"/>
      <c r="DH100" s="310"/>
      <c r="DI100" s="310"/>
      <c r="DJ100" s="310"/>
      <c r="DK100" s="310"/>
      <c r="DL100" s="310"/>
      <c r="DM100" s="310"/>
      <c r="DN100" s="310"/>
      <c r="DO100" s="310"/>
      <c r="DP100" s="310"/>
      <c r="DQ100" s="310"/>
      <c r="DR100" s="310"/>
      <c r="DS100" s="310"/>
      <c r="DT100" s="310"/>
      <c r="DU100" s="310"/>
      <c r="DV100" s="310"/>
      <c r="DW100" s="310"/>
      <c r="DX100" s="310"/>
      <c r="DY100" s="310"/>
      <c r="DZ100" s="310"/>
      <c r="EA100" s="310"/>
      <c r="EB100" s="310"/>
      <c r="EC100" s="310"/>
      <c r="ED100" s="310"/>
      <c r="EE100" s="310"/>
      <c r="EF100" s="310"/>
      <c r="EG100" s="310"/>
      <c r="EH100" s="310"/>
      <c r="EI100" s="310"/>
      <c r="EJ100" s="310"/>
      <c r="EK100" s="310"/>
      <c r="EL100" s="310"/>
      <c r="EM100" s="310"/>
      <c r="EN100" s="310"/>
      <c r="EO100" s="310"/>
      <c r="EP100" s="310"/>
      <c r="EQ100" s="310"/>
      <c r="ER100" s="310"/>
      <c r="ES100" s="310"/>
      <c r="ET100" s="310"/>
      <c r="EU100" s="310"/>
      <c r="EV100" s="310"/>
      <c r="EW100" s="310"/>
      <c r="EX100" s="310"/>
      <c r="EY100" s="310"/>
      <c r="EZ100" s="310"/>
      <c r="FA100" s="310"/>
      <c r="FB100" s="310"/>
      <c r="FC100" s="310"/>
      <c r="FD100" s="310"/>
      <c r="FE100" s="310"/>
      <c r="FF100" s="310"/>
    </row>
    <row r="101" spans="1:162" s="211" customFormat="1" ht="35.25" hidden="1" customHeight="1" x14ac:dyDescent="0.25">
      <c r="A101" s="210">
        <v>88</v>
      </c>
      <c r="B101" s="277" t="s">
        <v>99</v>
      </c>
      <c r="C101" s="277">
        <v>3</v>
      </c>
      <c r="D101" s="277">
        <v>0</v>
      </c>
      <c r="E101" s="277">
        <v>0</v>
      </c>
      <c r="F101" s="276" t="s">
        <v>581</v>
      </c>
      <c r="G101" s="277" t="s">
        <v>1</v>
      </c>
      <c r="H101" s="277" t="s">
        <v>2</v>
      </c>
      <c r="I101" s="277" t="s">
        <v>139</v>
      </c>
      <c r="J101" s="276" t="s">
        <v>139</v>
      </c>
      <c r="K101" s="276" t="s">
        <v>139</v>
      </c>
      <c r="L101" s="276" t="s">
        <v>139</v>
      </c>
      <c r="M101" s="255"/>
      <c r="N101" s="277" t="s">
        <v>467</v>
      </c>
      <c r="O101" s="256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55"/>
      <c r="AB101" s="276" t="s">
        <v>139</v>
      </c>
      <c r="AC101" s="276" t="s">
        <v>139</v>
      </c>
      <c r="AD101" s="276" t="s">
        <v>139</v>
      </c>
      <c r="AE101" s="277" t="s">
        <v>139</v>
      </c>
      <c r="AF101" s="255"/>
      <c r="AG101" s="292" t="s">
        <v>139</v>
      </c>
      <c r="AH101" s="292" t="s">
        <v>139</v>
      </c>
      <c r="AI101" s="277" t="s">
        <v>467</v>
      </c>
      <c r="AJ101" s="230" t="s">
        <v>104</v>
      </c>
      <c r="AK101" s="255"/>
      <c r="AL101" s="255"/>
      <c r="AM101" s="255"/>
      <c r="AN101" s="255"/>
      <c r="AO101" s="255" t="s">
        <v>467</v>
      </c>
      <c r="AP101" s="257"/>
      <c r="AQ101" s="255"/>
      <c r="AR101" s="255"/>
      <c r="AS101" s="255"/>
      <c r="AT101" s="255"/>
      <c r="AU101" s="255"/>
      <c r="AV101" s="255"/>
      <c r="AW101" s="255"/>
      <c r="AX101" s="239"/>
      <c r="AY101" s="255"/>
      <c r="AZ101" s="239"/>
      <c r="BA101" s="255"/>
      <c r="BB101" s="277" t="s">
        <v>467</v>
      </c>
      <c r="BC101" s="218" t="str">
        <f t="shared" si="7"/>
        <v/>
      </c>
      <c r="BD101" s="210" t="str">
        <f t="shared" si="8"/>
        <v>INDENIZAÇÃO</v>
      </c>
      <c r="BE101" s="210" t="str">
        <f t="shared" si="9"/>
        <v>NÃO</v>
      </c>
      <c r="BF101" s="277"/>
      <c r="BG101" s="277"/>
      <c r="BH101" s="277"/>
      <c r="BI101" s="277"/>
      <c r="BJ101" s="277"/>
      <c r="BK101" s="277"/>
      <c r="BL101" s="277"/>
      <c r="BM101" s="277"/>
      <c r="BN101" s="210"/>
      <c r="BO101" s="210"/>
      <c r="BP101" s="210"/>
      <c r="BQ101" s="210"/>
      <c r="BR101" s="210"/>
      <c r="BS101" s="210"/>
      <c r="BT101" s="210"/>
      <c r="BU101" s="210"/>
      <c r="BV101" s="210"/>
      <c r="BW101" s="210"/>
      <c r="BX101" s="210"/>
      <c r="BY101" s="210"/>
      <c r="BZ101" s="212"/>
    </row>
    <row r="102" spans="1:162" ht="35.25" customHeight="1" x14ac:dyDescent="0.25">
      <c r="A102" s="210">
        <v>89</v>
      </c>
      <c r="B102" s="210" t="s">
        <v>99</v>
      </c>
      <c r="C102" s="210">
        <v>3</v>
      </c>
      <c r="D102" s="210">
        <v>0</v>
      </c>
      <c r="E102" s="210">
        <v>0</v>
      </c>
      <c r="F102" s="219" t="s">
        <v>582</v>
      </c>
      <c r="G102" s="210" t="s">
        <v>1</v>
      </c>
      <c r="H102" s="210" t="s">
        <v>2</v>
      </c>
      <c r="I102" s="210" t="s">
        <v>12</v>
      </c>
      <c r="J102" s="219" t="s">
        <v>583</v>
      </c>
      <c r="K102" s="219" t="s">
        <v>584</v>
      </c>
      <c r="L102" s="219" t="s">
        <v>585</v>
      </c>
      <c r="M102" s="232" t="s">
        <v>4</v>
      </c>
      <c r="N102" s="210" t="s">
        <v>5</v>
      </c>
      <c r="O102" s="213">
        <v>45587</v>
      </c>
      <c r="P102" s="213" t="s">
        <v>24</v>
      </c>
      <c r="Q102" s="213" t="s">
        <v>24</v>
      </c>
      <c r="R102" s="213" t="s">
        <v>24</v>
      </c>
      <c r="S102" s="213" t="s">
        <v>24</v>
      </c>
      <c r="T102" s="213" t="s">
        <v>24</v>
      </c>
      <c r="U102" s="213" t="s">
        <v>24</v>
      </c>
      <c r="V102" s="213" t="s">
        <v>24</v>
      </c>
      <c r="W102" s="213" t="s">
        <v>24</v>
      </c>
      <c r="X102" s="213" t="s">
        <v>24</v>
      </c>
      <c r="Y102" s="213" t="s">
        <v>24</v>
      </c>
      <c r="Z102" s="213" t="s">
        <v>24</v>
      </c>
      <c r="AA102" s="232"/>
      <c r="AB102" s="219" t="s">
        <v>583</v>
      </c>
      <c r="AC102" s="219" t="s">
        <v>584</v>
      </c>
      <c r="AD102" s="219" t="s">
        <v>585</v>
      </c>
      <c r="AE102" s="210" t="s">
        <v>12</v>
      </c>
      <c r="AF102" s="232" t="s">
        <v>4</v>
      </c>
      <c r="AG102" s="230">
        <v>34300</v>
      </c>
      <c r="AH102" s="230">
        <v>60000</v>
      </c>
      <c r="AI102" s="210" t="s">
        <v>6</v>
      </c>
      <c r="AJ102" s="230" t="s">
        <v>104</v>
      </c>
      <c r="AK102" s="210" t="s">
        <v>105</v>
      </c>
      <c r="AL102" s="232" t="s">
        <v>105</v>
      </c>
      <c r="AM102" s="232" t="s">
        <v>105</v>
      </c>
      <c r="AN102" s="232" t="s">
        <v>106</v>
      </c>
      <c r="AO102" s="232"/>
      <c r="AP102" s="234" t="s">
        <v>586</v>
      </c>
      <c r="AQ102" s="232" t="s">
        <v>105</v>
      </c>
      <c r="AR102" s="232" t="s">
        <v>105</v>
      </c>
      <c r="AS102" s="210" t="s">
        <v>105</v>
      </c>
      <c r="AT102" s="210" t="s">
        <v>105</v>
      </c>
      <c r="AU102" s="213">
        <v>45755</v>
      </c>
      <c r="AV102" s="210" t="s">
        <v>105</v>
      </c>
      <c r="AW102" s="210" t="s">
        <v>105</v>
      </c>
      <c r="AX102" s="213">
        <v>45763</v>
      </c>
      <c r="AY102" s="221">
        <v>45763</v>
      </c>
      <c r="AZ102" s="235" t="s">
        <v>220</v>
      </c>
      <c r="BA102" s="235" t="s">
        <v>502</v>
      </c>
      <c r="BB102" s="210" t="s">
        <v>105</v>
      </c>
      <c r="BC102" s="218">
        <f t="shared" si="7"/>
        <v>176</v>
      </c>
      <c r="BD102" s="210" t="str">
        <f t="shared" si="8"/>
        <v>INDENIZAÇÃO</v>
      </c>
      <c r="BE102" s="210" t="str">
        <f t="shared" si="9"/>
        <v>NÃO</v>
      </c>
      <c r="BF102" s="210" t="s">
        <v>24</v>
      </c>
      <c r="BG102" s="210" t="s">
        <v>24</v>
      </c>
      <c r="BH102" s="210" t="s">
        <v>24</v>
      </c>
      <c r="BI102" s="210" t="s">
        <v>105</v>
      </c>
      <c r="BJ102" s="210" t="s">
        <v>105</v>
      </c>
      <c r="BK102" s="213">
        <v>45783</v>
      </c>
      <c r="BL102" s="210" t="s">
        <v>105</v>
      </c>
      <c r="BM102" s="241" t="s">
        <v>220</v>
      </c>
      <c r="BN102" s="232"/>
      <c r="BO102" s="232"/>
      <c r="BP102" s="232"/>
      <c r="BQ102" s="232"/>
      <c r="BR102" s="232"/>
      <c r="BS102" s="232"/>
      <c r="BT102" s="232"/>
      <c r="BU102" s="232"/>
      <c r="BV102" s="232"/>
      <c r="BW102" s="232"/>
      <c r="BX102" s="232"/>
      <c r="BY102" s="232"/>
    </row>
    <row r="103" spans="1:162" ht="35.25" customHeight="1" x14ac:dyDescent="0.25">
      <c r="A103" s="210">
        <v>90</v>
      </c>
      <c r="B103" s="210" t="s">
        <v>99</v>
      </c>
      <c r="C103" s="210">
        <v>3</v>
      </c>
      <c r="D103" s="210">
        <v>0</v>
      </c>
      <c r="E103" s="210">
        <v>0</v>
      </c>
      <c r="F103" s="270" t="s">
        <v>587</v>
      </c>
      <c r="G103" s="220" t="s">
        <v>1</v>
      </c>
      <c r="H103" s="220" t="s">
        <v>366</v>
      </c>
      <c r="I103" s="220" t="s">
        <v>3</v>
      </c>
      <c r="J103" s="270" t="s">
        <v>588</v>
      </c>
      <c r="K103" s="270" t="s">
        <v>589</v>
      </c>
      <c r="L103" s="270" t="s">
        <v>590</v>
      </c>
      <c r="M103" s="232" t="s">
        <v>529</v>
      </c>
      <c r="N103" s="220" t="s">
        <v>591</v>
      </c>
      <c r="O103" s="213">
        <v>45477</v>
      </c>
      <c r="P103" s="213" t="s">
        <v>24</v>
      </c>
      <c r="Q103" s="213" t="s">
        <v>24</v>
      </c>
      <c r="R103" s="213" t="s">
        <v>24</v>
      </c>
      <c r="S103" s="213" t="s">
        <v>24</v>
      </c>
      <c r="T103" s="213" t="s">
        <v>24</v>
      </c>
      <c r="U103" s="213" t="s">
        <v>24</v>
      </c>
      <c r="V103" s="213" t="s">
        <v>24</v>
      </c>
      <c r="W103" s="213" t="s">
        <v>24</v>
      </c>
      <c r="X103" s="213" t="s">
        <v>24</v>
      </c>
      <c r="Y103" s="213" t="s">
        <v>24</v>
      </c>
      <c r="Z103" s="213" t="s">
        <v>24</v>
      </c>
      <c r="AA103" s="232"/>
      <c r="AB103" s="271" t="s">
        <v>588</v>
      </c>
      <c r="AC103" s="270" t="s">
        <v>589</v>
      </c>
      <c r="AD103" s="270" t="s">
        <v>590</v>
      </c>
      <c r="AE103" s="220" t="s">
        <v>547</v>
      </c>
      <c r="AF103" s="232" t="s">
        <v>4</v>
      </c>
      <c r="AG103" s="291">
        <v>44800</v>
      </c>
      <c r="AH103" s="230">
        <v>60000</v>
      </c>
      <c r="AI103" s="232" t="s">
        <v>6</v>
      </c>
      <c r="AJ103" s="230" t="s">
        <v>104</v>
      </c>
      <c r="AK103" s="210" t="s">
        <v>105</v>
      </c>
      <c r="AL103" s="210" t="s">
        <v>105</v>
      </c>
      <c r="AM103" s="210" t="s">
        <v>105</v>
      </c>
      <c r="AN103" s="210" t="s">
        <v>106</v>
      </c>
      <c r="AO103" s="232"/>
      <c r="AP103" s="234" t="s">
        <v>592</v>
      </c>
      <c r="AQ103" s="228" t="s">
        <v>105</v>
      </c>
      <c r="AR103" s="210" t="s">
        <v>105</v>
      </c>
      <c r="AS103" s="210" t="s">
        <v>105</v>
      </c>
      <c r="AT103" s="210" t="s">
        <v>105</v>
      </c>
      <c r="AU103" s="213">
        <v>45537</v>
      </c>
      <c r="AV103" s="210" t="s">
        <v>105</v>
      </c>
      <c r="AW103" s="210" t="s">
        <v>105</v>
      </c>
      <c r="AX103" s="213">
        <v>45541</v>
      </c>
      <c r="AY103" s="213">
        <v>45541</v>
      </c>
      <c r="AZ103" s="221" t="s">
        <v>220</v>
      </c>
      <c r="BA103" s="241" t="s">
        <v>502</v>
      </c>
      <c r="BB103" s="217" t="s">
        <v>105</v>
      </c>
      <c r="BC103" s="218">
        <f t="shared" si="7"/>
        <v>64</v>
      </c>
      <c r="BD103" s="210" t="str">
        <f t="shared" si="8"/>
        <v>INDENIZAÇÃO</v>
      </c>
      <c r="BE103" s="210" t="str">
        <f t="shared" si="9"/>
        <v>NÃO</v>
      </c>
      <c r="BF103" s="210" t="s">
        <v>24</v>
      </c>
      <c r="BG103" s="210" t="s">
        <v>24</v>
      </c>
      <c r="BH103" s="210" t="s">
        <v>24</v>
      </c>
      <c r="BI103" s="210" t="s">
        <v>105</v>
      </c>
      <c r="BJ103" s="210" t="s">
        <v>105</v>
      </c>
      <c r="BK103" s="213">
        <v>45621</v>
      </c>
      <c r="BL103" s="210" t="s">
        <v>105</v>
      </c>
      <c r="BM103" s="241" t="s">
        <v>220</v>
      </c>
      <c r="BN103" s="232"/>
      <c r="BO103" s="232"/>
      <c r="BP103" s="232"/>
      <c r="BQ103" s="232"/>
      <c r="BR103" s="232"/>
      <c r="BS103" s="232"/>
      <c r="BT103" s="232"/>
      <c r="BU103" s="232"/>
      <c r="BV103" s="232"/>
      <c r="BW103" s="232"/>
      <c r="BX103" s="232"/>
      <c r="BY103" s="232"/>
    </row>
    <row r="104" spans="1:162" ht="35.25" hidden="1" customHeight="1" x14ac:dyDescent="0.25">
      <c r="A104" s="210">
        <v>91</v>
      </c>
      <c r="B104" s="210" t="s">
        <v>99</v>
      </c>
      <c r="C104" s="210">
        <v>3</v>
      </c>
      <c r="D104" s="210">
        <v>0</v>
      </c>
      <c r="E104" s="210">
        <v>0</v>
      </c>
      <c r="F104" s="270" t="s">
        <v>593</v>
      </c>
      <c r="G104" s="220" t="s">
        <v>1</v>
      </c>
      <c r="H104" s="220" t="s">
        <v>2</v>
      </c>
      <c r="I104" s="210" t="s">
        <v>12</v>
      </c>
      <c r="J104" s="270" t="s">
        <v>588</v>
      </c>
      <c r="K104" s="270" t="s">
        <v>589</v>
      </c>
      <c r="L104" s="270" t="s">
        <v>590</v>
      </c>
      <c r="M104" s="232" t="s">
        <v>529</v>
      </c>
      <c r="N104" s="220" t="s">
        <v>312</v>
      </c>
      <c r="O104" s="213">
        <v>45477</v>
      </c>
      <c r="P104" s="213" t="s">
        <v>24</v>
      </c>
      <c r="Q104" s="213" t="s">
        <v>24</v>
      </c>
      <c r="R104" s="213" t="s">
        <v>24</v>
      </c>
      <c r="S104" s="213" t="s">
        <v>24</v>
      </c>
      <c r="T104" s="213" t="s">
        <v>24</v>
      </c>
      <c r="U104" s="213" t="s">
        <v>24</v>
      </c>
      <c r="V104" s="213" t="s">
        <v>24</v>
      </c>
      <c r="W104" s="213" t="s">
        <v>24</v>
      </c>
      <c r="X104" s="213" t="s">
        <v>24</v>
      </c>
      <c r="Y104" s="213" t="s">
        <v>24</v>
      </c>
      <c r="Z104" s="213" t="s">
        <v>24</v>
      </c>
      <c r="AA104" s="232" t="s">
        <v>594</v>
      </c>
      <c r="AB104" s="271" t="s">
        <v>588</v>
      </c>
      <c r="AC104" s="270" t="s">
        <v>589</v>
      </c>
      <c r="AD104" s="270" t="s">
        <v>590</v>
      </c>
      <c r="AE104" s="220" t="s">
        <v>12</v>
      </c>
      <c r="AF104" s="210" t="s">
        <v>4</v>
      </c>
      <c r="AG104" s="230">
        <v>0</v>
      </c>
      <c r="AH104" s="230">
        <v>0</v>
      </c>
      <c r="AI104" s="232" t="s">
        <v>594</v>
      </c>
      <c r="AJ104" s="230" t="s">
        <v>104</v>
      </c>
      <c r="AK104" s="210" t="s">
        <v>105</v>
      </c>
      <c r="AL104" s="232" t="s">
        <v>24</v>
      </c>
      <c r="AM104" s="232" t="s">
        <v>24</v>
      </c>
      <c r="AN104" s="232" t="s">
        <v>24</v>
      </c>
      <c r="AO104" s="232" t="s">
        <v>594</v>
      </c>
      <c r="AP104" s="219" t="s">
        <v>24</v>
      </c>
      <c r="AQ104" s="210" t="s">
        <v>24</v>
      </c>
      <c r="AR104" s="210" t="s">
        <v>24</v>
      </c>
      <c r="AS104" s="210" t="s">
        <v>24</v>
      </c>
      <c r="AT104" s="210" t="s">
        <v>24</v>
      </c>
      <c r="AU104" s="210" t="s">
        <v>24</v>
      </c>
      <c r="AV104" s="210" t="s">
        <v>24</v>
      </c>
      <c r="AW104" s="210" t="s">
        <v>24</v>
      </c>
      <c r="AX104" s="210" t="s">
        <v>24</v>
      </c>
      <c r="AY104" s="210" t="s">
        <v>24</v>
      </c>
      <c r="AZ104" s="235" t="s">
        <v>220</v>
      </c>
      <c r="BA104" s="235" t="s">
        <v>502</v>
      </c>
      <c r="BB104" s="217" t="s">
        <v>105</v>
      </c>
      <c r="BC104" s="218" t="s">
        <v>24</v>
      </c>
      <c r="BD104" s="210" t="str">
        <f t="shared" si="8"/>
        <v>INDENIZAÇÃO</v>
      </c>
      <c r="BE104" s="210" t="str">
        <f t="shared" si="9"/>
        <v>NÃO</v>
      </c>
      <c r="BF104" s="210" t="s">
        <v>24</v>
      </c>
      <c r="BG104" s="210" t="s">
        <v>24</v>
      </c>
      <c r="BH104" s="210" t="s">
        <v>24</v>
      </c>
      <c r="BI104" s="210" t="s">
        <v>24</v>
      </c>
      <c r="BJ104" s="210" t="s">
        <v>24</v>
      </c>
      <c r="BK104" s="210" t="s">
        <v>24</v>
      </c>
      <c r="BL104" s="210" t="s">
        <v>24</v>
      </c>
      <c r="BM104" s="251" t="s">
        <v>105</v>
      </c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</row>
    <row r="105" spans="1:162" ht="35.25" customHeight="1" x14ac:dyDescent="0.25">
      <c r="A105" s="210">
        <v>92</v>
      </c>
      <c r="B105" s="210" t="s">
        <v>99</v>
      </c>
      <c r="C105" s="210">
        <v>3</v>
      </c>
      <c r="D105" s="210">
        <v>0</v>
      </c>
      <c r="E105" s="210">
        <v>0</v>
      </c>
      <c r="F105" s="219" t="s">
        <v>595</v>
      </c>
      <c r="G105" s="210" t="s">
        <v>1</v>
      </c>
      <c r="H105" s="210" t="s">
        <v>2</v>
      </c>
      <c r="I105" s="210" t="s">
        <v>121</v>
      </c>
      <c r="J105" s="219" t="s">
        <v>596</v>
      </c>
      <c r="K105" s="219" t="s">
        <v>597</v>
      </c>
      <c r="L105" s="219" t="s">
        <v>598</v>
      </c>
      <c r="M105" s="232" t="s">
        <v>4</v>
      </c>
      <c r="N105" s="210" t="s">
        <v>14</v>
      </c>
      <c r="O105" s="213">
        <v>45587</v>
      </c>
      <c r="P105" s="251">
        <v>45573</v>
      </c>
      <c r="Q105" s="251" t="s">
        <v>114</v>
      </c>
      <c r="R105" s="251" t="s">
        <v>105</v>
      </c>
      <c r="S105" s="251" t="s">
        <v>105</v>
      </c>
      <c r="T105" s="251" t="s">
        <v>105</v>
      </c>
      <c r="U105" s="251">
        <v>45589</v>
      </c>
      <c r="V105" s="251" t="s">
        <v>105</v>
      </c>
      <c r="W105" s="251">
        <v>45589</v>
      </c>
      <c r="X105" s="251">
        <v>45604</v>
      </c>
      <c r="Y105" s="251">
        <v>45609</v>
      </c>
      <c r="Z105" s="251"/>
      <c r="AA105" s="232"/>
      <c r="AB105" s="219" t="s">
        <v>599</v>
      </c>
      <c r="AC105" s="219" t="s">
        <v>600</v>
      </c>
      <c r="AD105" s="219" t="s">
        <v>601</v>
      </c>
      <c r="AE105" s="210" t="s">
        <v>547</v>
      </c>
      <c r="AF105" s="232" t="s">
        <v>4</v>
      </c>
      <c r="AG105" s="230">
        <v>44700</v>
      </c>
      <c r="AH105" s="230">
        <v>44700</v>
      </c>
      <c r="AI105" s="210" t="s">
        <v>6</v>
      </c>
      <c r="AJ105" s="230" t="s">
        <v>104</v>
      </c>
      <c r="AK105" s="210" t="s">
        <v>105</v>
      </c>
      <c r="AL105" s="232" t="s">
        <v>105</v>
      </c>
      <c r="AM105" s="232" t="s">
        <v>105</v>
      </c>
      <c r="AN105" s="232" t="s">
        <v>106</v>
      </c>
      <c r="AO105" s="232"/>
      <c r="AP105" s="234" t="s">
        <v>602</v>
      </c>
      <c r="AQ105" s="232" t="s">
        <v>105</v>
      </c>
      <c r="AR105" s="232" t="s">
        <v>105</v>
      </c>
      <c r="AS105" s="210" t="s">
        <v>105</v>
      </c>
      <c r="AT105" s="210" t="s">
        <v>105</v>
      </c>
      <c r="AU105" s="213">
        <v>45755</v>
      </c>
      <c r="AV105" s="210" t="s">
        <v>105</v>
      </c>
      <c r="AW105" s="210" t="s">
        <v>105</v>
      </c>
      <c r="AX105" s="213">
        <v>45763</v>
      </c>
      <c r="AY105" s="221">
        <v>45763</v>
      </c>
      <c r="AZ105" s="235" t="s">
        <v>220</v>
      </c>
      <c r="BA105" s="235" t="s">
        <v>502</v>
      </c>
      <c r="BB105" s="210" t="s">
        <v>105</v>
      </c>
      <c r="BC105" s="218">
        <f t="shared" ref="BC105:BC118" si="10">IF(AY105-ON105=0,"",AY105-O105)</f>
        <v>176</v>
      </c>
      <c r="BD105" s="210" t="str">
        <f t="shared" si="8"/>
        <v>INDENIZAÇÃO</v>
      </c>
      <c r="BE105" s="210" t="str">
        <f t="shared" si="9"/>
        <v>NÃO</v>
      </c>
      <c r="BF105" s="210" t="s">
        <v>24</v>
      </c>
      <c r="BG105" s="210" t="s">
        <v>24</v>
      </c>
      <c r="BH105" s="210" t="s">
        <v>24</v>
      </c>
      <c r="BI105" s="232" t="s">
        <v>105</v>
      </c>
      <c r="BJ105" s="232" t="s">
        <v>105</v>
      </c>
      <c r="BK105" s="213">
        <v>45783</v>
      </c>
      <c r="BL105" s="232" t="s">
        <v>105</v>
      </c>
      <c r="BM105" s="241" t="s">
        <v>220</v>
      </c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</row>
    <row r="106" spans="1:162" ht="35.25" customHeight="1" x14ac:dyDescent="0.25">
      <c r="A106" s="210">
        <v>93</v>
      </c>
      <c r="B106" s="210" t="s">
        <v>99</v>
      </c>
      <c r="C106" s="210">
        <v>3</v>
      </c>
      <c r="D106" s="210">
        <v>0</v>
      </c>
      <c r="E106" s="210">
        <v>0</v>
      </c>
      <c r="F106" s="219" t="s">
        <v>603</v>
      </c>
      <c r="G106" s="210" t="s">
        <v>1</v>
      </c>
      <c r="H106" s="210" t="s">
        <v>2</v>
      </c>
      <c r="I106" s="210" t="s">
        <v>121</v>
      </c>
      <c r="J106" s="219" t="s">
        <v>604</v>
      </c>
      <c r="K106" s="219" t="s">
        <v>605</v>
      </c>
      <c r="L106" s="219" t="s">
        <v>606</v>
      </c>
      <c r="M106" s="232" t="s">
        <v>4</v>
      </c>
      <c r="N106" s="210" t="s">
        <v>14</v>
      </c>
      <c r="O106" s="213">
        <v>45587</v>
      </c>
      <c r="P106" s="251">
        <v>45573</v>
      </c>
      <c r="Q106" s="251" t="s">
        <v>114</v>
      </c>
      <c r="R106" s="251" t="s">
        <v>105</v>
      </c>
      <c r="S106" s="251" t="s">
        <v>105</v>
      </c>
      <c r="T106" s="251" t="s">
        <v>105</v>
      </c>
      <c r="U106" s="251">
        <v>45589</v>
      </c>
      <c r="V106" s="251" t="s">
        <v>105</v>
      </c>
      <c r="W106" s="251">
        <v>45589</v>
      </c>
      <c r="X106" s="251">
        <v>45604</v>
      </c>
      <c r="Y106" s="251">
        <v>45609</v>
      </c>
      <c r="Z106" s="251"/>
      <c r="AA106" s="232"/>
      <c r="AB106" s="219" t="s">
        <v>607</v>
      </c>
      <c r="AC106" s="219" t="s">
        <v>608</v>
      </c>
      <c r="AD106" s="219" t="s">
        <v>609</v>
      </c>
      <c r="AE106" s="210" t="s">
        <v>547</v>
      </c>
      <c r="AF106" s="232" t="s">
        <v>4</v>
      </c>
      <c r="AG106" s="230">
        <v>34714.99</v>
      </c>
      <c r="AH106" s="230">
        <v>34714.99</v>
      </c>
      <c r="AI106" s="210" t="s">
        <v>6</v>
      </c>
      <c r="AJ106" s="230" t="s">
        <v>104</v>
      </c>
      <c r="AK106" s="210" t="s">
        <v>105</v>
      </c>
      <c r="AL106" s="232" t="s">
        <v>105</v>
      </c>
      <c r="AM106" s="232" t="s">
        <v>105</v>
      </c>
      <c r="AN106" s="232" t="s">
        <v>106</v>
      </c>
      <c r="AO106" s="232"/>
      <c r="AP106" s="234" t="s">
        <v>610</v>
      </c>
      <c r="AQ106" s="232" t="s">
        <v>105</v>
      </c>
      <c r="AR106" s="232" t="s">
        <v>105</v>
      </c>
      <c r="AS106" s="232" t="s">
        <v>105</v>
      </c>
      <c r="AT106" s="232" t="s">
        <v>105</v>
      </c>
      <c r="AU106" s="251">
        <v>45726</v>
      </c>
      <c r="AV106" s="232" t="s">
        <v>105</v>
      </c>
      <c r="AW106" s="232" t="s">
        <v>105</v>
      </c>
      <c r="AX106" s="233">
        <v>45729</v>
      </c>
      <c r="AY106" s="236">
        <v>45729</v>
      </c>
      <c r="AZ106" s="236" t="s">
        <v>220</v>
      </c>
      <c r="BA106" s="235" t="s">
        <v>502</v>
      </c>
      <c r="BB106" s="210" t="s">
        <v>105</v>
      </c>
      <c r="BC106" s="218">
        <f t="shared" si="10"/>
        <v>142</v>
      </c>
      <c r="BD106" s="210" t="str">
        <f t="shared" si="8"/>
        <v>INDENIZAÇÃO</v>
      </c>
      <c r="BE106" s="210" t="str">
        <f t="shared" si="9"/>
        <v>NÃO</v>
      </c>
      <c r="BF106" s="210" t="s">
        <v>24</v>
      </c>
      <c r="BG106" s="210" t="s">
        <v>24</v>
      </c>
      <c r="BH106" s="210" t="s">
        <v>24</v>
      </c>
      <c r="BI106" s="232" t="s">
        <v>105</v>
      </c>
      <c r="BJ106" s="232" t="s">
        <v>105</v>
      </c>
      <c r="BK106" s="213">
        <v>45783</v>
      </c>
      <c r="BL106" s="232" t="s">
        <v>105</v>
      </c>
      <c r="BM106" s="241" t="s">
        <v>220</v>
      </c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</row>
    <row r="107" spans="1:162" ht="35.25" customHeight="1" x14ac:dyDescent="0.25">
      <c r="A107" s="210">
        <v>94</v>
      </c>
      <c r="B107" s="210" t="s">
        <v>99</v>
      </c>
      <c r="C107" s="210">
        <v>3</v>
      </c>
      <c r="D107" s="210">
        <v>0</v>
      </c>
      <c r="E107" s="210">
        <v>0</v>
      </c>
      <c r="F107" s="219" t="s">
        <v>611</v>
      </c>
      <c r="G107" s="210" t="s">
        <v>1</v>
      </c>
      <c r="H107" s="210" t="s">
        <v>2</v>
      </c>
      <c r="I107" s="210" t="s">
        <v>12</v>
      </c>
      <c r="J107" s="219" t="s">
        <v>612</v>
      </c>
      <c r="K107" s="219" t="s">
        <v>613</v>
      </c>
      <c r="L107" s="219" t="s">
        <v>614</v>
      </c>
      <c r="M107" s="232" t="s">
        <v>4</v>
      </c>
      <c r="N107" s="220" t="s">
        <v>5</v>
      </c>
      <c r="O107" s="213">
        <v>45496</v>
      </c>
      <c r="P107" s="213" t="s">
        <v>24</v>
      </c>
      <c r="Q107" s="213" t="s">
        <v>24</v>
      </c>
      <c r="R107" s="213" t="s">
        <v>24</v>
      </c>
      <c r="S107" s="213" t="s">
        <v>24</v>
      </c>
      <c r="T107" s="213" t="s">
        <v>24</v>
      </c>
      <c r="U107" s="213" t="s">
        <v>24</v>
      </c>
      <c r="V107" s="213" t="s">
        <v>24</v>
      </c>
      <c r="W107" s="213" t="s">
        <v>24</v>
      </c>
      <c r="X107" s="213" t="s">
        <v>24</v>
      </c>
      <c r="Y107" s="213" t="s">
        <v>24</v>
      </c>
      <c r="Z107" s="213" t="s">
        <v>24</v>
      </c>
      <c r="AA107" s="232"/>
      <c r="AB107" s="219" t="s">
        <v>612</v>
      </c>
      <c r="AC107" s="219" t="s">
        <v>613</v>
      </c>
      <c r="AD107" s="219" t="s">
        <v>614</v>
      </c>
      <c r="AE107" s="220" t="s">
        <v>12</v>
      </c>
      <c r="AF107" s="210" t="s">
        <v>4</v>
      </c>
      <c r="AG107" s="230">
        <v>15900</v>
      </c>
      <c r="AH107" s="230">
        <f>AG107+30000</f>
        <v>45900</v>
      </c>
      <c r="AI107" s="232" t="s">
        <v>6</v>
      </c>
      <c r="AJ107" s="230" t="s">
        <v>104</v>
      </c>
      <c r="AK107" s="210" t="s">
        <v>105</v>
      </c>
      <c r="AL107" s="210" t="s">
        <v>105</v>
      </c>
      <c r="AM107" s="210" t="s">
        <v>105</v>
      </c>
      <c r="AN107" s="232" t="s">
        <v>106</v>
      </c>
      <c r="AO107" s="232"/>
      <c r="AP107" s="234" t="s">
        <v>615</v>
      </c>
      <c r="AQ107" s="210" t="s">
        <v>105</v>
      </c>
      <c r="AR107" s="210" t="s">
        <v>105</v>
      </c>
      <c r="AS107" s="210" t="s">
        <v>105</v>
      </c>
      <c r="AT107" s="210" t="s">
        <v>105</v>
      </c>
      <c r="AU107" s="233">
        <v>45569</v>
      </c>
      <c r="AV107" s="210" t="s">
        <v>105</v>
      </c>
      <c r="AW107" s="210" t="s">
        <v>105</v>
      </c>
      <c r="AX107" s="233">
        <v>45579</v>
      </c>
      <c r="AY107" s="221">
        <v>45579</v>
      </c>
      <c r="AZ107" s="221" t="s">
        <v>220</v>
      </c>
      <c r="BA107" s="241" t="s">
        <v>502</v>
      </c>
      <c r="BB107" s="217" t="s">
        <v>105</v>
      </c>
      <c r="BC107" s="218">
        <f t="shared" si="10"/>
        <v>83</v>
      </c>
      <c r="BD107" s="210" t="str">
        <f t="shared" si="8"/>
        <v>INDENIZAÇÃO</v>
      </c>
      <c r="BE107" s="210" t="str">
        <f t="shared" si="9"/>
        <v>NÃO</v>
      </c>
      <c r="BF107" s="210" t="s">
        <v>24</v>
      </c>
      <c r="BG107" s="210" t="s">
        <v>24</v>
      </c>
      <c r="BH107" s="210" t="s">
        <v>24</v>
      </c>
      <c r="BI107" s="210" t="s">
        <v>105</v>
      </c>
      <c r="BJ107" s="210" t="s">
        <v>105</v>
      </c>
      <c r="BK107" s="213">
        <v>45621</v>
      </c>
      <c r="BL107" s="210" t="s">
        <v>105</v>
      </c>
      <c r="BM107" s="241" t="s">
        <v>220</v>
      </c>
      <c r="BN107" s="210"/>
      <c r="BO107" s="210"/>
      <c r="BP107" s="210"/>
      <c r="BQ107" s="210"/>
      <c r="BR107" s="210"/>
      <c r="BS107" s="210"/>
      <c r="BT107" s="210"/>
      <c r="BU107" s="210"/>
      <c r="BV107" s="210"/>
      <c r="BW107" s="210"/>
      <c r="BX107" s="210"/>
      <c r="BY107" s="210"/>
      <c r="BZ107" s="194"/>
      <c r="CA107" s="194"/>
      <c r="CB107" s="194"/>
      <c r="CC107" s="194"/>
      <c r="CD107" s="194"/>
      <c r="CE107" s="194"/>
      <c r="CF107" s="194"/>
      <c r="CG107" s="194"/>
      <c r="CH107" s="194"/>
      <c r="CI107" s="194"/>
      <c r="CJ107" s="194"/>
      <c r="CK107" s="194"/>
      <c r="CL107" s="194"/>
      <c r="CM107" s="194"/>
      <c r="CN107" s="194"/>
      <c r="CO107" s="194"/>
      <c r="CP107" s="194"/>
      <c r="CQ107" s="194"/>
      <c r="CR107" s="194"/>
      <c r="CS107" s="194"/>
      <c r="CT107" s="194"/>
      <c r="CU107" s="194"/>
      <c r="CV107" s="194"/>
      <c r="CW107" s="194"/>
      <c r="CX107" s="194"/>
      <c r="CY107" s="194"/>
      <c r="CZ107" s="194"/>
      <c r="DA107" s="194"/>
      <c r="DB107" s="194"/>
      <c r="DC107" s="194"/>
      <c r="DD107" s="194"/>
      <c r="DE107" s="194"/>
      <c r="DF107" s="194"/>
      <c r="DG107" s="194"/>
      <c r="DH107" s="194"/>
      <c r="DI107" s="194"/>
      <c r="DJ107" s="194"/>
      <c r="DK107" s="194"/>
      <c r="DL107" s="194"/>
      <c r="DM107" s="194"/>
      <c r="DN107" s="194"/>
      <c r="DO107" s="194"/>
      <c r="DP107" s="194"/>
      <c r="DQ107" s="194"/>
      <c r="DR107" s="194"/>
      <c r="DS107" s="194"/>
      <c r="DT107" s="194"/>
      <c r="DU107" s="194"/>
      <c r="DV107" s="194"/>
      <c r="DW107" s="194"/>
      <c r="DX107" s="194"/>
      <c r="DY107" s="194"/>
      <c r="DZ107" s="194"/>
      <c r="EA107" s="194"/>
      <c r="EB107" s="194"/>
      <c r="EC107" s="194"/>
      <c r="ED107" s="194"/>
      <c r="EE107" s="194"/>
      <c r="EF107" s="194"/>
      <c r="EG107" s="194"/>
      <c r="EH107" s="194"/>
      <c r="EI107" s="194"/>
      <c r="EJ107" s="194"/>
      <c r="EK107" s="194"/>
      <c r="EL107" s="194"/>
      <c r="EM107" s="194"/>
      <c r="EN107" s="194"/>
      <c r="EO107" s="194"/>
      <c r="EP107" s="194"/>
      <c r="EQ107" s="194"/>
      <c r="ER107" s="194"/>
      <c r="ES107" s="194"/>
      <c r="ET107" s="194"/>
      <c r="EU107" s="194"/>
      <c r="EV107" s="194"/>
      <c r="EW107" s="194"/>
      <c r="EX107" s="194"/>
      <c r="EY107" s="194"/>
      <c r="EZ107" s="194"/>
      <c r="FA107" s="194"/>
      <c r="FB107" s="194"/>
      <c r="FC107" s="194"/>
      <c r="FD107" s="194"/>
      <c r="FE107" s="194"/>
      <c r="FF107" s="194"/>
    </row>
    <row r="108" spans="1:162" s="258" customFormat="1" ht="35.25" customHeight="1" x14ac:dyDescent="0.25">
      <c r="A108" s="228">
        <v>95</v>
      </c>
      <c r="B108" s="228" t="s">
        <v>99</v>
      </c>
      <c r="C108" s="228">
        <v>3</v>
      </c>
      <c r="D108" s="228">
        <v>0</v>
      </c>
      <c r="E108" s="228">
        <v>0</v>
      </c>
      <c r="F108" s="215" t="s">
        <v>616</v>
      </c>
      <c r="G108" s="228" t="s">
        <v>1</v>
      </c>
      <c r="H108" s="228" t="s">
        <v>2</v>
      </c>
      <c r="I108" s="228" t="s">
        <v>12</v>
      </c>
      <c r="J108" s="215" t="s">
        <v>617</v>
      </c>
      <c r="K108" s="215" t="s">
        <v>618</v>
      </c>
      <c r="L108" s="215" t="s">
        <v>619</v>
      </c>
      <c r="M108" s="250" t="s">
        <v>620</v>
      </c>
      <c r="N108" s="228" t="s">
        <v>5</v>
      </c>
      <c r="O108" s="229">
        <v>45819</v>
      </c>
      <c r="P108" s="213" t="s">
        <v>24</v>
      </c>
      <c r="Q108" s="213" t="s">
        <v>24</v>
      </c>
      <c r="R108" s="213" t="s">
        <v>24</v>
      </c>
      <c r="S108" s="213" t="s">
        <v>24</v>
      </c>
      <c r="T108" s="213" t="s">
        <v>24</v>
      </c>
      <c r="U108" s="213" t="s">
        <v>24</v>
      </c>
      <c r="V108" s="213" t="s">
        <v>24</v>
      </c>
      <c r="W108" s="213" t="s">
        <v>24</v>
      </c>
      <c r="X108" s="213" t="s">
        <v>24</v>
      </c>
      <c r="Y108" s="213" t="s">
        <v>24</v>
      </c>
      <c r="Z108" s="213" t="s">
        <v>24</v>
      </c>
      <c r="AA108" s="250"/>
      <c r="AB108" s="215" t="s">
        <v>617</v>
      </c>
      <c r="AC108" s="215" t="s">
        <v>618</v>
      </c>
      <c r="AD108" s="215" t="s">
        <v>619</v>
      </c>
      <c r="AE108" s="228" t="s">
        <v>12</v>
      </c>
      <c r="AF108" s="250" t="s">
        <v>620</v>
      </c>
      <c r="AG108" s="293">
        <v>103400</v>
      </c>
      <c r="AH108" s="293">
        <v>103400</v>
      </c>
      <c r="AI108" s="228" t="s">
        <v>6</v>
      </c>
      <c r="AJ108" s="293" t="s">
        <v>104</v>
      </c>
      <c r="AK108" s="250">
        <v>105530700</v>
      </c>
      <c r="AL108" s="210" t="s">
        <v>105</v>
      </c>
      <c r="AM108" s="210" t="s">
        <v>105</v>
      </c>
      <c r="AN108" s="250" t="s">
        <v>106</v>
      </c>
      <c r="AO108" s="250" t="s">
        <v>467</v>
      </c>
      <c r="AP108" s="234" t="s">
        <v>621</v>
      </c>
      <c r="AQ108" s="228" t="s">
        <v>501</v>
      </c>
      <c r="AR108" s="228" t="s">
        <v>501</v>
      </c>
      <c r="AS108" s="232" t="s">
        <v>105</v>
      </c>
      <c r="AT108" s="232" t="s">
        <v>105</v>
      </c>
      <c r="AU108" s="229">
        <v>45894</v>
      </c>
      <c r="AV108" s="232" t="s">
        <v>105</v>
      </c>
      <c r="AW108" s="232" t="s">
        <v>105</v>
      </c>
      <c r="AX108" s="229">
        <v>45939</v>
      </c>
      <c r="AY108" s="236">
        <v>45939</v>
      </c>
      <c r="AZ108" s="221" t="s">
        <v>220</v>
      </c>
      <c r="BA108" s="235" t="s">
        <v>502</v>
      </c>
      <c r="BB108" s="217" t="s">
        <v>105</v>
      </c>
      <c r="BC108" s="218">
        <f t="shared" si="10"/>
        <v>120</v>
      </c>
      <c r="BD108" s="210" t="str">
        <f t="shared" si="8"/>
        <v>INDENIZAÇÃO</v>
      </c>
      <c r="BE108" s="210" t="str">
        <f t="shared" si="9"/>
        <v>NÃO</v>
      </c>
      <c r="BF108" s="210" t="s">
        <v>24</v>
      </c>
      <c r="BG108" s="210" t="s">
        <v>24</v>
      </c>
      <c r="BH108" s="210" t="s">
        <v>24</v>
      </c>
      <c r="BI108" s="210" t="s">
        <v>105</v>
      </c>
      <c r="BJ108" s="210" t="s">
        <v>105</v>
      </c>
      <c r="BK108" s="213">
        <v>45951</v>
      </c>
      <c r="BL108" s="241" t="s">
        <v>622</v>
      </c>
      <c r="BM108" s="241"/>
      <c r="BN108" s="250"/>
      <c r="BO108" s="250"/>
      <c r="BP108" s="250"/>
      <c r="BQ108" s="250"/>
      <c r="BR108" s="250"/>
      <c r="BS108" s="250"/>
      <c r="BT108" s="250"/>
      <c r="BU108" s="250"/>
      <c r="BV108" s="250"/>
      <c r="BW108" s="250"/>
      <c r="BX108" s="250"/>
      <c r="BY108" s="250"/>
    </row>
    <row r="109" spans="1:162" ht="35.25" hidden="1" customHeight="1" x14ac:dyDescent="0.25">
      <c r="A109" s="210">
        <v>96</v>
      </c>
      <c r="B109" s="210" t="s">
        <v>99</v>
      </c>
      <c r="C109" s="210">
        <v>3</v>
      </c>
      <c r="D109" s="210">
        <v>0</v>
      </c>
      <c r="E109" s="210">
        <v>0</v>
      </c>
      <c r="F109" s="219" t="s">
        <v>623</v>
      </c>
      <c r="G109" s="210" t="s">
        <v>1</v>
      </c>
      <c r="H109" s="210" t="s">
        <v>2</v>
      </c>
      <c r="I109" s="220" t="s">
        <v>121</v>
      </c>
      <c r="J109" s="219" t="s">
        <v>139</v>
      </c>
      <c r="K109" s="219" t="s">
        <v>139</v>
      </c>
      <c r="L109" s="219" t="s">
        <v>139</v>
      </c>
      <c r="M109" s="232" t="s">
        <v>4</v>
      </c>
      <c r="N109" s="210" t="s">
        <v>14</v>
      </c>
      <c r="O109" s="213">
        <v>45819</v>
      </c>
      <c r="P109" s="236" t="s">
        <v>220</v>
      </c>
      <c r="Q109" s="236" t="s">
        <v>114</v>
      </c>
      <c r="R109" s="236"/>
      <c r="S109" s="236"/>
      <c r="T109" s="236"/>
      <c r="U109" s="236"/>
      <c r="V109" s="236"/>
      <c r="W109" s="236"/>
      <c r="X109" s="236"/>
      <c r="Y109" s="236"/>
      <c r="Z109" s="236"/>
      <c r="AA109" s="232"/>
      <c r="AB109" s="276" t="s">
        <v>617</v>
      </c>
      <c r="AC109" s="215" t="s">
        <v>618</v>
      </c>
      <c r="AD109" s="215" t="s">
        <v>619</v>
      </c>
      <c r="AE109" s="220" t="s">
        <v>3</v>
      </c>
      <c r="AF109" s="250" t="s">
        <v>620</v>
      </c>
      <c r="AG109" s="230">
        <v>0</v>
      </c>
      <c r="AH109" s="230">
        <v>0</v>
      </c>
      <c r="AI109" s="232" t="s">
        <v>624</v>
      </c>
      <c r="AJ109" s="230" t="s">
        <v>104</v>
      </c>
      <c r="AK109" s="232" t="s">
        <v>105</v>
      </c>
      <c r="AL109" s="232" t="s">
        <v>24</v>
      </c>
      <c r="AM109" s="232" t="s">
        <v>24</v>
      </c>
      <c r="AN109" s="232" t="s">
        <v>24</v>
      </c>
      <c r="AO109" s="232"/>
      <c r="AP109" s="234" t="s">
        <v>24</v>
      </c>
      <c r="AQ109" s="232" t="s">
        <v>24</v>
      </c>
      <c r="AR109" s="232" t="s">
        <v>24</v>
      </c>
      <c r="AS109" s="232" t="s">
        <v>24</v>
      </c>
      <c r="AT109" s="232" t="s">
        <v>24</v>
      </c>
      <c r="AU109" s="232" t="s">
        <v>24</v>
      </c>
      <c r="AV109" s="232" t="s">
        <v>24</v>
      </c>
      <c r="AW109" s="232" t="s">
        <v>24</v>
      </c>
      <c r="AX109" s="233"/>
      <c r="AY109" s="232"/>
      <c r="AZ109" s="233"/>
      <c r="BA109" s="232"/>
      <c r="BB109" s="232"/>
      <c r="BC109" s="218" t="str">
        <f t="shared" si="10"/>
        <v/>
      </c>
      <c r="BD109" s="210" t="str">
        <f t="shared" si="8"/>
        <v>INDENIZAÇÃO</v>
      </c>
      <c r="BE109" s="210" t="str">
        <f t="shared" si="9"/>
        <v>NÃO</v>
      </c>
      <c r="BF109" s="210"/>
      <c r="BG109" s="210"/>
      <c r="BH109" s="210"/>
      <c r="BI109" s="210"/>
      <c r="BJ109" s="210"/>
      <c r="BK109" s="210"/>
      <c r="BL109" s="210"/>
      <c r="BM109" s="210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</row>
    <row r="110" spans="1:162" ht="35.25" hidden="1" customHeight="1" x14ac:dyDescent="0.25">
      <c r="A110" s="210">
        <v>97</v>
      </c>
      <c r="B110" s="210" t="s">
        <v>99</v>
      </c>
      <c r="C110" s="210">
        <v>3</v>
      </c>
      <c r="D110" s="210">
        <v>0</v>
      </c>
      <c r="E110" s="210">
        <v>0</v>
      </c>
      <c r="F110" s="270" t="s">
        <v>625</v>
      </c>
      <c r="G110" s="220" t="s">
        <v>1</v>
      </c>
      <c r="H110" s="220" t="s">
        <v>2</v>
      </c>
      <c r="I110" s="220" t="s">
        <v>121</v>
      </c>
      <c r="J110" s="270" t="s">
        <v>626</v>
      </c>
      <c r="K110" s="270" t="s">
        <v>627</v>
      </c>
      <c r="L110" s="270" t="s">
        <v>628</v>
      </c>
      <c r="M110" s="232" t="s">
        <v>4</v>
      </c>
      <c r="N110" s="210" t="s">
        <v>14</v>
      </c>
      <c r="O110" s="213">
        <v>45819</v>
      </c>
      <c r="P110" s="236" t="s">
        <v>220</v>
      </c>
      <c r="Q110" s="236" t="s">
        <v>114</v>
      </c>
      <c r="R110" s="236"/>
      <c r="S110" s="236"/>
      <c r="T110" s="236"/>
      <c r="U110" s="236"/>
      <c r="V110" s="236"/>
      <c r="W110" s="236"/>
      <c r="X110" s="236"/>
      <c r="Y110" s="236"/>
      <c r="Z110" s="236"/>
      <c r="AA110" s="232"/>
      <c r="AB110" s="276" t="s">
        <v>617</v>
      </c>
      <c r="AC110" s="215" t="s">
        <v>618</v>
      </c>
      <c r="AD110" s="215" t="s">
        <v>619</v>
      </c>
      <c r="AE110" s="220" t="s">
        <v>3</v>
      </c>
      <c r="AF110" s="250" t="s">
        <v>620</v>
      </c>
      <c r="AG110" s="291">
        <v>0</v>
      </c>
      <c r="AH110" s="291">
        <v>0</v>
      </c>
      <c r="AI110" s="232" t="s">
        <v>624</v>
      </c>
      <c r="AJ110" s="230" t="s">
        <v>104</v>
      </c>
      <c r="AK110" s="232" t="s">
        <v>105</v>
      </c>
      <c r="AL110" s="232" t="s">
        <v>24</v>
      </c>
      <c r="AM110" s="232" t="s">
        <v>24</v>
      </c>
      <c r="AN110" s="232" t="s">
        <v>24</v>
      </c>
      <c r="AO110" s="232"/>
      <c r="AP110" s="234" t="s">
        <v>24</v>
      </c>
      <c r="AQ110" s="232" t="s">
        <v>24</v>
      </c>
      <c r="AR110" s="232" t="s">
        <v>24</v>
      </c>
      <c r="AS110" s="232" t="s">
        <v>24</v>
      </c>
      <c r="AT110" s="232" t="s">
        <v>24</v>
      </c>
      <c r="AU110" s="232" t="s">
        <v>24</v>
      </c>
      <c r="AV110" s="232" t="s">
        <v>24</v>
      </c>
      <c r="AW110" s="232" t="s">
        <v>24</v>
      </c>
      <c r="AX110" s="233"/>
      <c r="AY110" s="232"/>
      <c r="AZ110" s="233"/>
      <c r="BA110" s="232"/>
      <c r="BB110" s="232"/>
      <c r="BC110" s="218" t="str">
        <f t="shared" si="10"/>
        <v/>
      </c>
      <c r="BD110" s="210" t="str">
        <f t="shared" ref="BD110:BD121" si="11">IF(AND(AI110&lt;&gt;"SIM",AI110="UH"),"AA","INDENIZAÇÃO")</f>
        <v>INDENIZAÇÃO</v>
      </c>
      <c r="BE110" s="210" t="str">
        <f t="shared" si="9"/>
        <v>NÃO</v>
      </c>
      <c r="BF110" s="210"/>
      <c r="BG110" s="210"/>
      <c r="BH110" s="210"/>
      <c r="BI110" s="210"/>
      <c r="BJ110" s="210"/>
      <c r="BK110" s="210"/>
      <c r="BL110" s="210"/>
      <c r="BM110" s="210"/>
      <c r="BN110" s="232"/>
      <c r="BO110" s="232"/>
      <c r="BP110" s="232"/>
      <c r="BQ110" s="232"/>
      <c r="BR110" s="232"/>
      <c r="BS110" s="232"/>
      <c r="BT110" s="232"/>
      <c r="BU110" s="232"/>
      <c r="BV110" s="232"/>
      <c r="BW110" s="232"/>
      <c r="BX110" s="232"/>
      <c r="BY110" s="232"/>
    </row>
    <row r="111" spans="1:162" ht="35.25" customHeight="1" x14ac:dyDescent="0.25">
      <c r="A111" s="210">
        <v>98</v>
      </c>
      <c r="B111" s="210" t="s">
        <v>99</v>
      </c>
      <c r="C111" s="210">
        <v>3</v>
      </c>
      <c r="D111" s="210">
        <v>0</v>
      </c>
      <c r="E111" s="210">
        <v>0</v>
      </c>
      <c r="F111" s="270" t="s">
        <v>629</v>
      </c>
      <c r="G111" s="220" t="s">
        <v>1</v>
      </c>
      <c r="H111" s="220" t="s">
        <v>2</v>
      </c>
      <c r="I111" s="220" t="s">
        <v>121</v>
      </c>
      <c r="J111" s="270" t="s">
        <v>630</v>
      </c>
      <c r="K111" s="270" t="s">
        <v>631</v>
      </c>
      <c r="L111" s="270" t="s">
        <v>632</v>
      </c>
      <c r="M111" s="232" t="s">
        <v>4</v>
      </c>
      <c r="N111" s="220" t="s">
        <v>14</v>
      </c>
      <c r="O111" s="213">
        <v>45467</v>
      </c>
      <c r="P111" s="251">
        <v>45491</v>
      </c>
      <c r="Q111" s="251" t="s">
        <v>114</v>
      </c>
      <c r="R111" s="251" t="s">
        <v>105</v>
      </c>
      <c r="S111" s="251" t="s">
        <v>105</v>
      </c>
      <c r="T111" s="251" t="s">
        <v>105</v>
      </c>
      <c r="U111" s="251">
        <v>45505</v>
      </c>
      <c r="V111" s="251" t="s">
        <v>105</v>
      </c>
      <c r="W111" s="251">
        <v>45505</v>
      </c>
      <c r="X111" s="251">
        <v>45524</v>
      </c>
      <c r="Y111" s="251">
        <v>45525</v>
      </c>
      <c r="Z111" s="251"/>
      <c r="AA111" s="232"/>
      <c r="AB111" s="270" t="s">
        <v>633</v>
      </c>
      <c r="AC111" s="270" t="s">
        <v>634</v>
      </c>
      <c r="AD111" s="270" t="s">
        <v>635</v>
      </c>
      <c r="AE111" s="220" t="s">
        <v>3</v>
      </c>
      <c r="AF111" s="232" t="s">
        <v>4</v>
      </c>
      <c r="AG111" s="291">
        <v>31700</v>
      </c>
      <c r="AH111" s="291">
        <v>31700</v>
      </c>
      <c r="AI111" s="232" t="s">
        <v>6</v>
      </c>
      <c r="AJ111" s="230" t="s">
        <v>104</v>
      </c>
      <c r="AK111" s="232" t="s">
        <v>105</v>
      </c>
      <c r="AL111" s="210" t="s">
        <v>105</v>
      </c>
      <c r="AM111" s="210" t="s">
        <v>105</v>
      </c>
      <c r="AN111" s="210" t="s">
        <v>106</v>
      </c>
      <c r="AO111" s="232"/>
      <c r="AP111" s="234" t="s">
        <v>636</v>
      </c>
      <c r="AQ111" s="228" t="s">
        <v>105</v>
      </c>
      <c r="AR111" s="210" t="s">
        <v>105</v>
      </c>
      <c r="AS111" s="210" t="s">
        <v>105</v>
      </c>
      <c r="AT111" s="210" t="s">
        <v>105</v>
      </c>
      <c r="AU111" s="233">
        <v>45558</v>
      </c>
      <c r="AV111" s="210" t="s">
        <v>105</v>
      </c>
      <c r="AW111" s="210" t="s">
        <v>105</v>
      </c>
      <c r="AX111" s="233">
        <v>45561</v>
      </c>
      <c r="AY111" s="221">
        <v>45561</v>
      </c>
      <c r="AZ111" s="221" t="s">
        <v>220</v>
      </c>
      <c r="BA111" s="232" t="s">
        <v>30</v>
      </c>
      <c r="BB111" s="217" t="s">
        <v>105</v>
      </c>
      <c r="BC111" s="218">
        <f t="shared" si="10"/>
        <v>94</v>
      </c>
      <c r="BD111" s="210" t="str">
        <f t="shared" si="11"/>
        <v>INDENIZAÇÃO</v>
      </c>
      <c r="BE111" s="210" t="str">
        <f t="shared" si="9"/>
        <v>NÃO</v>
      </c>
      <c r="BF111" s="210" t="s">
        <v>24</v>
      </c>
      <c r="BG111" s="210" t="s">
        <v>24</v>
      </c>
      <c r="BH111" s="210" t="s">
        <v>24</v>
      </c>
      <c r="BI111" s="210" t="s">
        <v>105</v>
      </c>
      <c r="BJ111" s="210" t="s">
        <v>105</v>
      </c>
      <c r="BK111" s="213">
        <v>45621</v>
      </c>
      <c r="BL111" s="210" t="s">
        <v>105</v>
      </c>
      <c r="BM111" s="241" t="s">
        <v>220</v>
      </c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</row>
    <row r="112" spans="1:162" ht="35.25" customHeight="1" x14ac:dyDescent="0.25">
      <c r="A112" s="210">
        <v>99</v>
      </c>
      <c r="B112" s="210" t="s">
        <v>99</v>
      </c>
      <c r="C112" s="210">
        <v>3</v>
      </c>
      <c r="D112" s="210">
        <v>0</v>
      </c>
      <c r="E112" s="210">
        <v>0</v>
      </c>
      <c r="F112" s="219" t="s">
        <v>637</v>
      </c>
      <c r="G112" s="210" t="s">
        <v>1</v>
      </c>
      <c r="H112" s="210" t="s">
        <v>2</v>
      </c>
      <c r="I112" s="210" t="s">
        <v>12</v>
      </c>
      <c r="J112" s="219" t="s">
        <v>638</v>
      </c>
      <c r="K112" s="219" t="s">
        <v>639</v>
      </c>
      <c r="L112" s="219" t="s">
        <v>640</v>
      </c>
      <c r="M112" s="232" t="s">
        <v>529</v>
      </c>
      <c r="N112" s="232" t="s">
        <v>5</v>
      </c>
      <c r="O112" s="213">
        <v>45467</v>
      </c>
      <c r="P112" s="233" t="s">
        <v>24</v>
      </c>
      <c r="Q112" s="233" t="s">
        <v>24</v>
      </c>
      <c r="R112" s="233" t="s">
        <v>24</v>
      </c>
      <c r="S112" s="233" t="s">
        <v>24</v>
      </c>
      <c r="T112" s="233" t="s">
        <v>24</v>
      </c>
      <c r="U112" s="233" t="s">
        <v>24</v>
      </c>
      <c r="V112" s="233" t="s">
        <v>24</v>
      </c>
      <c r="W112" s="233" t="s">
        <v>24</v>
      </c>
      <c r="X112" s="233" t="s">
        <v>24</v>
      </c>
      <c r="Y112" s="233" t="s">
        <v>24</v>
      </c>
      <c r="Z112" s="233" t="s">
        <v>24</v>
      </c>
      <c r="AA112" s="232"/>
      <c r="AB112" s="219" t="s">
        <v>638</v>
      </c>
      <c r="AC112" s="219" t="s">
        <v>639</v>
      </c>
      <c r="AD112" s="219" t="s">
        <v>640</v>
      </c>
      <c r="AE112" s="220" t="s">
        <v>12</v>
      </c>
      <c r="AF112" s="232" t="s">
        <v>4</v>
      </c>
      <c r="AG112" s="230">
        <v>47985.36</v>
      </c>
      <c r="AH112" s="230">
        <v>60000</v>
      </c>
      <c r="AI112" s="232" t="s">
        <v>6</v>
      </c>
      <c r="AJ112" s="230" t="s">
        <v>104</v>
      </c>
      <c r="AK112" s="232" t="s">
        <v>105</v>
      </c>
      <c r="AL112" s="210" t="s">
        <v>105</v>
      </c>
      <c r="AM112" s="210" t="s">
        <v>105</v>
      </c>
      <c r="AN112" s="210" t="s">
        <v>106</v>
      </c>
      <c r="AO112" s="232"/>
      <c r="AP112" s="234" t="s">
        <v>641</v>
      </c>
      <c r="AQ112" s="228" t="s">
        <v>105</v>
      </c>
      <c r="AR112" s="210" t="s">
        <v>105</v>
      </c>
      <c r="AS112" s="210" t="s">
        <v>105</v>
      </c>
      <c r="AT112" s="210" t="s">
        <v>105</v>
      </c>
      <c r="AU112" s="213">
        <v>45537</v>
      </c>
      <c r="AV112" s="210" t="s">
        <v>105</v>
      </c>
      <c r="AW112" s="210" t="s">
        <v>105</v>
      </c>
      <c r="AX112" s="213">
        <v>45541</v>
      </c>
      <c r="AY112" s="213">
        <v>45541</v>
      </c>
      <c r="AZ112" s="221" t="s">
        <v>220</v>
      </c>
      <c r="BA112" s="232" t="s">
        <v>30</v>
      </c>
      <c r="BB112" s="217" t="s">
        <v>105</v>
      </c>
      <c r="BC112" s="218">
        <f t="shared" si="10"/>
        <v>74</v>
      </c>
      <c r="BD112" s="210" t="str">
        <f t="shared" si="11"/>
        <v>INDENIZAÇÃO</v>
      </c>
      <c r="BE112" s="210" t="str">
        <f t="shared" si="9"/>
        <v>NÃO</v>
      </c>
      <c r="BF112" s="210" t="s">
        <v>24</v>
      </c>
      <c r="BG112" s="210" t="s">
        <v>24</v>
      </c>
      <c r="BH112" s="210" t="s">
        <v>24</v>
      </c>
      <c r="BI112" s="210" t="s">
        <v>105</v>
      </c>
      <c r="BJ112" s="210" t="s">
        <v>105</v>
      </c>
      <c r="BK112" s="213">
        <v>45621</v>
      </c>
      <c r="BL112" s="210" t="s">
        <v>105</v>
      </c>
      <c r="BM112" s="241" t="s">
        <v>220</v>
      </c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</row>
    <row r="113" spans="1:162" ht="35.25" hidden="1" customHeight="1" x14ac:dyDescent="0.25">
      <c r="A113" s="210">
        <v>100</v>
      </c>
      <c r="B113" s="210" t="s">
        <v>99</v>
      </c>
      <c r="C113" s="210">
        <v>3</v>
      </c>
      <c r="D113" s="210">
        <v>0</v>
      </c>
      <c r="E113" s="210">
        <v>0</v>
      </c>
      <c r="F113" s="219" t="s">
        <v>642</v>
      </c>
      <c r="G113" s="210" t="s">
        <v>1</v>
      </c>
      <c r="H113" s="210" t="s">
        <v>2</v>
      </c>
      <c r="I113" s="210" t="s">
        <v>139</v>
      </c>
      <c r="J113" s="219" t="s">
        <v>643</v>
      </c>
      <c r="K113" s="219" t="s">
        <v>139</v>
      </c>
      <c r="L113" s="219" t="s">
        <v>139</v>
      </c>
      <c r="M113" s="232"/>
      <c r="N113" s="232"/>
      <c r="O113" s="213">
        <v>45019</v>
      </c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2"/>
      <c r="AB113" s="219" t="s">
        <v>139</v>
      </c>
      <c r="AC113" s="219" t="s">
        <v>139</v>
      </c>
      <c r="AD113" s="219" t="s">
        <v>139</v>
      </c>
      <c r="AE113" s="210" t="s">
        <v>139</v>
      </c>
      <c r="AF113" s="232"/>
      <c r="AG113" s="230" t="s">
        <v>139</v>
      </c>
      <c r="AH113" s="230" t="s">
        <v>139</v>
      </c>
      <c r="AI113" s="232"/>
      <c r="AJ113" s="230" t="s">
        <v>104</v>
      </c>
      <c r="AK113" s="232"/>
      <c r="AL113" s="232"/>
      <c r="AM113" s="232"/>
      <c r="AN113" s="232"/>
      <c r="AO113" s="232"/>
      <c r="AP113" s="234"/>
      <c r="AQ113" s="232"/>
      <c r="AR113" s="232"/>
      <c r="AS113" s="232"/>
      <c r="AT113" s="232"/>
      <c r="AU113" s="232"/>
      <c r="AV113" s="232"/>
      <c r="AW113" s="232"/>
      <c r="AX113" s="233"/>
      <c r="AY113" s="232"/>
      <c r="AZ113" s="233"/>
      <c r="BA113" s="232"/>
      <c r="BB113" s="232"/>
      <c r="BC113" s="218" t="str">
        <f t="shared" si="10"/>
        <v/>
      </c>
      <c r="BD113" s="210" t="str">
        <f t="shared" si="11"/>
        <v>INDENIZAÇÃO</v>
      </c>
      <c r="BE113" s="210" t="str">
        <f t="shared" si="9"/>
        <v>NÃO</v>
      </c>
      <c r="BF113" s="210"/>
      <c r="BG113" s="210"/>
      <c r="BH113" s="210"/>
      <c r="BI113" s="210"/>
      <c r="BJ113" s="210"/>
      <c r="BK113" s="210"/>
      <c r="BL113" s="210"/>
      <c r="BM113" s="210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</row>
    <row r="114" spans="1:162" ht="35.25" customHeight="1" x14ac:dyDescent="0.25">
      <c r="A114" s="210">
        <v>101</v>
      </c>
      <c r="B114" s="210" t="s">
        <v>99</v>
      </c>
      <c r="C114" s="210">
        <v>3</v>
      </c>
      <c r="D114" s="210">
        <v>0</v>
      </c>
      <c r="E114" s="210">
        <v>0</v>
      </c>
      <c r="F114" s="219" t="s">
        <v>644</v>
      </c>
      <c r="G114" s="220" t="s">
        <v>1</v>
      </c>
      <c r="H114" s="220" t="s">
        <v>2</v>
      </c>
      <c r="I114" s="210" t="s">
        <v>12</v>
      </c>
      <c r="J114" s="219" t="s">
        <v>645</v>
      </c>
      <c r="K114" s="219" t="s">
        <v>646</v>
      </c>
      <c r="L114" s="219" t="s">
        <v>647</v>
      </c>
      <c r="M114" s="232" t="s">
        <v>4</v>
      </c>
      <c r="N114" s="232" t="s">
        <v>5</v>
      </c>
      <c r="O114" s="213">
        <v>45467</v>
      </c>
      <c r="P114" s="233" t="s">
        <v>24</v>
      </c>
      <c r="Q114" s="233" t="s">
        <v>24</v>
      </c>
      <c r="R114" s="233" t="s">
        <v>24</v>
      </c>
      <c r="S114" s="233" t="s">
        <v>24</v>
      </c>
      <c r="T114" s="233" t="s">
        <v>24</v>
      </c>
      <c r="U114" s="233" t="s">
        <v>24</v>
      </c>
      <c r="V114" s="233" t="s">
        <v>24</v>
      </c>
      <c r="W114" s="233" t="s">
        <v>24</v>
      </c>
      <c r="X114" s="233" t="s">
        <v>24</v>
      </c>
      <c r="Y114" s="233" t="s">
        <v>24</v>
      </c>
      <c r="Z114" s="233" t="s">
        <v>24</v>
      </c>
      <c r="AA114" s="232"/>
      <c r="AB114" s="219" t="s">
        <v>645</v>
      </c>
      <c r="AC114" s="219" t="s">
        <v>646</v>
      </c>
      <c r="AD114" s="219" t="s">
        <v>647</v>
      </c>
      <c r="AE114" s="220" t="s">
        <v>12</v>
      </c>
      <c r="AF114" s="232" t="s">
        <v>4</v>
      </c>
      <c r="AG114" s="230">
        <v>30100</v>
      </c>
      <c r="AH114" s="230">
        <v>60000</v>
      </c>
      <c r="AI114" s="232" t="s">
        <v>6</v>
      </c>
      <c r="AJ114" s="230" t="s">
        <v>104</v>
      </c>
      <c r="AK114" s="232" t="s">
        <v>105</v>
      </c>
      <c r="AL114" s="210" t="s">
        <v>105</v>
      </c>
      <c r="AM114" s="210" t="s">
        <v>105</v>
      </c>
      <c r="AN114" s="210" t="s">
        <v>106</v>
      </c>
      <c r="AO114" s="232"/>
      <c r="AP114" s="234" t="s">
        <v>648</v>
      </c>
      <c r="AQ114" s="228" t="s">
        <v>105</v>
      </c>
      <c r="AR114" s="210" t="s">
        <v>105</v>
      </c>
      <c r="AS114" s="210" t="s">
        <v>105</v>
      </c>
      <c r="AT114" s="210" t="s">
        <v>105</v>
      </c>
      <c r="AU114" s="213">
        <v>45537</v>
      </c>
      <c r="AV114" s="210" t="s">
        <v>105</v>
      </c>
      <c r="AW114" s="210" t="s">
        <v>105</v>
      </c>
      <c r="AX114" s="213">
        <v>45541</v>
      </c>
      <c r="AY114" s="213">
        <v>45541</v>
      </c>
      <c r="AZ114" s="221" t="s">
        <v>220</v>
      </c>
      <c r="BA114" s="232" t="s">
        <v>30</v>
      </c>
      <c r="BB114" s="217" t="s">
        <v>105</v>
      </c>
      <c r="BC114" s="218">
        <f t="shared" si="10"/>
        <v>74</v>
      </c>
      <c r="BD114" s="210" t="str">
        <f t="shared" si="11"/>
        <v>INDENIZAÇÃO</v>
      </c>
      <c r="BE114" s="210" t="str">
        <f t="shared" si="9"/>
        <v>NÃO</v>
      </c>
      <c r="BF114" s="210" t="s">
        <v>24</v>
      </c>
      <c r="BG114" s="210" t="s">
        <v>24</v>
      </c>
      <c r="BH114" s="210" t="s">
        <v>24</v>
      </c>
      <c r="BI114" s="210" t="s">
        <v>105</v>
      </c>
      <c r="BJ114" s="210" t="s">
        <v>105</v>
      </c>
      <c r="BK114" s="213">
        <v>45621</v>
      </c>
      <c r="BL114" s="210" t="s">
        <v>105</v>
      </c>
      <c r="BM114" s="241" t="s">
        <v>220</v>
      </c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</row>
    <row r="115" spans="1:162" ht="35.25" customHeight="1" x14ac:dyDescent="0.25">
      <c r="A115" s="210">
        <v>102</v>
      </c>
      <c r="B115" s="210" t="s">
        <v>99</v>
      </c>
      <c r="C115" s="210">
        <v>3</v>
      </c>
      <c r="D115" s="210">
        <v>0</v>
      </c>
      <c r="E115" s="210">
        <v>0</v>
      </c>
      <c r="F115" s="219" t="s">
        <v>649</v>
      </c>
      <c r="G115" s="210" t="s">
        <v>1</v>
      </c>
      <c r="H115" s="210" t="s">
        <v>2</v>
      </c>
      <c r="I115" s="210" t="s">
        <v>12</v>
      </c>
      <c r="J115" s="219" t="s">
        <v>650</v>
      </c>
      <c r="K115" s="219" t="s">
        <v>651</v>
      </c>
      <c r="L115" s="219" t="s">
        <v>652</v>
      </c>
      <c r="M115" s="232" t="s">
        <v>4</v>
      </c>
      <c r="N115" s="232" t="s">
        <v>5</v>
      </c>
      <c r="O115" s="213">
        <v>45433</v>
      </c>
      <c r="P115" s="233" t="s">
        <v>24</v>
      </c>
      <c r="Q115" s="233" t="s">
        <v>24</v>
      </c>
      <c r="R115" s="233" t="s">
        <v>24</v>
      </c>
      <c r="S115" s="233" t="s">
        <v>24</v>
      </c>
      <c r="T115" s="233" t="s">
        <v>24</v>
      </c>
      <c r="U115" s="233" t="s">
        <v>24</v>
      </c>
      <c r="V115" s="233" t="s">
        <v>24</v>
      </c>
      <c r="W115" s="233" t="s">
        <v>24</v>
      </c>
      <c r="X115" s="233" t="s">
        <v>24</v>
      </c>
      <c r="Y115" s="233" t="s">
        <v>24</v>
      </c>
      <c r="Z115" s="233" t="s">
        <v>24</v>
      </c>
      <c r="AA115" s="232"/>
      <c r="AB115" s="219" t="s">
        <v>650</v>
      </c>
      <c r="AC115" s="219" t="s">
        <v>651</v>
      </c>
      <c r="AD115" s="219" t="s">
        <v>652</v>
      </c>
      <c r="AE115" s="220" t="s">
        <v>12</v>
      </c>
      <c r="AF115" s="232" t="s">
        <v>4</v>
      </c>
      <c r="AG115" s="230">
        <v>24900</v>
      </c>
      <c r="AH115" s="230">
        <f>AG115+30000</f>
        <v>54900</v>
      </c>
      <c r="AI115" s="232" t="s">
        <v>6</v>
      </c>
      <c r="AJ115" s="230" t="s">
        <v>104</v>
      </c>
      <c r="AK115" s="232" t="s">
        <v>105</v>
      </c>
      <c r="AL115" s="232" t="s">
        <v>105</v>
      </c>
      <c r="AM115" s="232" t="s">
        <v>105</v>
      </c>
      <c r="AN115" s="232" t="s">
        <v>106</v>
      </c>
      <c r="AO115" s="232"/>
      <c r="AP115" s="234" t="s">
        <v>653</v>
      </c>
      <c r="AQ115" s="228" t="s">
        <v>105</v>
      </c>
      <c r="AR115" s="210" t="s">
        <v>105</v>
      </c>
      <c r="AS115" s="210" t="s">
        <v>105</v>
      </c>
      <c r="AT115" s="210" t="s">
        <v>105</v>
      </c>
      <c r="AU115" s="213">
        <v>45489</v>
      </c>
      <c r="AV115" s="210" t="s">
        <v>105</v>
      </c>
      <c r="AW115" s="210" t="s">
        <v>105</v>
      </c>
      <c r="AX115" s="213">
        <v>45495</v>
      </c>
      <c r="AY115" s="236">
        <v>45495</v>
      </c>
      <c r="AZ115" s="235" t="s">
        <v>220</v>
      </c>
      <c r="BA115" s="232" t="s">
        <v>30</v>
      </c>
      <c r="BB115" s="217" t="s">
        <v>105</v>
      </c>
      <c r="BC115" s="218">
        <f t="shared" si="10"/>
        <v>62</v>
      </c>
      <c r="BD115" s="210" t="str">
        <f t="shared" si="11"/>
        <v>INDENIZAÇÃO</v>
      </c>
      <c r="BE115" s="210" t="str">
        <f t="shared" si="9"/>
        <v>NÃO</v>
      </c>
      <c r="BF115" s="210" t="s">
        <v>24</v>
      </c>
      <c r="BG115" s="210" t="s">
        <v>24</v>
      </c>
      <c r="BH115" s="210" t="s">
        <v>24</v>
      </c>
      <c r="BI115" s="210" t="s">
        <v>105</v>
      </c>
      <c r="BJ115" s="210" t="s">
        <v>105</v>
      </c>
      <c r="BK115" s="213">
        <v>45621</v>
      </c>
      <c r="BL115" s="210" t="s">
        <v>105</v>
      </c>
      <c r="BM115" s="241" t="s">
        <v>220</v>
      </c>
      <c r="BN115" s="232"/>
      <c r="BO115" s="232"/>
      <c r="BP115" s="232"/>
      <c r="BQ115" s="232"/>
      <c r="BR115" s="232"/>
      <c r="BS115" s="232"/>
      <c r="BT115" s="232"/>
      <c r="BU115" s="232"/>
      <c r="BV115" s="232"/>
      <c r="BW115" s="232"/>
      <c r="BX115" s="232"/>
      <c r="BY115" s="232"/>
    </row>
    <row r="116" spans="1:162" ht="35.25" customHeight="1" x14ac:dyDescent="0.25">
      <c r="A116" s="210">
        <v>103</v>
      </c>
      <c r="B116" s="210" t="s">
        <v>99</v>
      </c>
      <c r="C116" s="210">
        <v>3</v>
      </c>
      <c r="D116" s="210">
        <v>0</v>
      </c>
      <c r="E116" s="210">
        <v>0</v>
      </c>
      <c r="F116" s="219" t="s">
        <v>654</v>
      </c>
      <c r="G116" s="220" t="s">
        <v>1</v>
      </c>
      <c r="H116" s="220" t="s">
        <v>2</v>
      </c>
      <c r="I116" s="210" t="s">
        <v>12</v>
      </c>
      <c r="J116" s="219" t="s">
        <v>655</v>
      </c>
      <c r="K116" s="219" t="s">
        <v>656</v>
      </c>
      <c r="L116" s="219" t="s">
        <v>657</v>
      </c>
      <c r="M116" s="232" t="s">
        <v>4</v>
      </c>
      <c r="N116" s="232" t="s">
        <v>5</v>
      </c>
      <c r="O116" s="213">
        <v>45467</v>
      </c>
      <c r="P116" s="233" t="s">
        <v>24</v>
      </c>
      <c r="Q116" s="233" t="s">
        <v>24</v>
      </c>
      <c r="R116" s="233" t="s">
        <v>24</v>
      </c>
      <c r="S116" s="233" t="s">
        <v>24</v>
      </c>
      <c r="T116" s="233" t="s">
        <v>24</v>
      </c>
      <c r="U116" s="233" t="s">
        <v>24</v>
      </c>
      <c r="V116" s="233" t="s">
        <v>24</v>
      </c>
      <c r="W116" s="233" t="s">
        <v>24</v>
      </c>
      <c r="X116" s="233" t="s">
        <v>24</v>
      </c>
      <c r="Y116" s="233" t="s">
        <v>24</v>
      </c>
      <c r="Z116" s="233" t="s">
        <v>24</v>
      </c>
      <c r="AA116" s="232"/>
      <c r="AB116" s="219" t="s">
        <v>655</v>
      </c>
      <c r="AC116" s="219" t="s">
        <v>656</v>
      </c>
      <c r="AD116" s="219" t="s">
        <v>657</v>
      </c>
      <c r="AE116" s="220" t="s">
        <v>12</v>
      </c>
      <c r="AF116" s="232" t="s">
        <v>4</v>
      </c>
      <c r="AG116" s="230">
        <v>23100</v>
      </c>
      <c r="AH116" s="230">
        <v>53100</v>
      </c>
      <c r="AI116" s="232" t="s">
        <v>6</v>
      </c>
      <c r="AJ116" s="230" t="s">
        <v>104</v>
      </c>
      <c r="AK116" s="232" t="s">
        <v>105</v>
      </c>
      <c r="AL116" s="210" t="s">
        <v>105</v>
      </c>
      <c r="AM116" s="210" t="s">
        <v>105</v>
      </c>
      <c r="AN116" s="210" t="s">
        <v>106</v>
      </c>
      <c r="AO116" s="232"/>
      <c r="AP116" s="234" t="s">
        <v>658</v>
      </c>
      <c r="AQ116" s="228" t="s">
        <v>105</v>
      </c>
      <c r="AR116" s="210" t="s">
        <v>105</v>
      </c>
      <c r="AS116" s="210" t="s">
        <v>105</v>
      </c>
      <c r="AT116" s="210" t="s">
        <v>105</v>
      </c>
      <c r="AU116" s="213">
        <v>45537</v>
      </c>
      <c r="AV116" s="210" t="s">
        <v>105</v>
      </c>
      <c r="AW116" s="210" t="s">
        <v>105</v>
      </c>
      <c r="AX116" s="213">
        <v>45541</v>
      </c>
      <c r="AY116" s="213">
        <v>45541</v>
      </c>
      <c r="AZ116" s="221" t="s">
        <v>220</v>
      </c>
      <c r="BA116" s="232" t="s">
        <v>30</v>
      </c>
      <c r="BB116" s="217" t="s">
        <v>105</v>
      </c>
      <c r="BC116" s="218">
        <f t="shared" si="10"/>
        <v>74</v>
      </c>
      <c r="BD116" s="210" t="str">
        <f t="shared" si="11"/>
        <v>INDENIZAÇÃO</v>
      </c>
      <c r="BE116" s="210" t="str">
        <f t="shared" si="9"/>
        <v>NÃO</v>
      </c>
      <c r="BF116" s="210" t="s">
        <v>24</v>
      </c>
      <c r="BG116" s="210" t="s">
        <v>24</v>
      </c>
      <c r="BH116" s="210" t="s">
        <v>24</v>
      </c>
      <c r="BI116" s="210" t="s">
        <v>105</v>
      </c>
      <c r="BJ116" s="210" t="s">
        <v>105</v>
      </c>
      <c r="BK116" s="213">
        <v>45621</v>
      </c>
      <c r="BL116" s="210" t="s">
        <v>105</v>
      </c>
      <c r="BM116" s="241" t="s">
        <v>220</v>
      </c>
      <c r="BN116" s="232"/>
      <c r="BO116" s="232"/>
      <c r="BP116" s="232"/>
      <c r="BQ116" s="232"/>
      <c r="BR116" s="232"/>
      <c r="BS116" s="232"/>
      <c r="BT116" s="232"/>
      <c r="BU116" s="232"/>
      <c r="BV116" s="232"/>
      <c r="BW116" s="232"/>
      <c r="BX116" s="232"/>
      <c r="BY116" s="232"/>
    </row>
    <row r="117" spans="1:162" ht="35.25" customHeight="1" x14ac:dyDescent="0.25">
      <c r="A117" s="210">
        <v>104</v>
      </c>
      <c r="B117" s="210" t="s">
        <v>99</v>
      </c>
      <c r="C117" s="210">
        <v>3</v>
      </c>
      <c r="D117" s="210">
        <v>0</v>
      </c>
      <c r="E117" s="210">
        <v>0</v>
      </c>
      <c r="F117" s="219" t="s">
        <v>659</v>
      </c>
      <c r="G117" s="210" t="s">
        <v>1</v>
      </c>
      <c r="H117" s="210" t="s">
        <v>2</v>
      </c>
      <c r="I117" s="210" t="s">
        <v>12</v>
      </c>
      <c r="J117" s="219" t="s">
        <v>660</v>
      </c>
      <c r="K117" s="219" t="s">
        <v>661</v>
      </c>
      <c r="L117" s="219" t="s">
        <v>662</v>
      </c>
      <c r="M117" s="232" t="s">
        <v>4</v>
      </c>
      <c r="N117" s="232" t="s">
        <v>5</v>
      </c>
      <c r="O117" s="213">
        <v>45467</v>
      </c>
      <c r="P117" s="233" t="s">
        <v>24</v>
      </c>
      <c r="Q117" s="233" t="s">
        <v>24</v>
      </c>
      <c r="R117" s="233" t="s">
        <v>24</v>
      </c>
      <c r="S117" s="233" t="s">
        <v>24</v>
      </c>
      <c r="T117" s="233" t="s">
        <v>24</v>
      </c>
      <c r="U117" s="233" t="s">
        <v>24</v>
      </c>
      <c r="V117" s="233" t="s">
        <v>24</v>
      </c>
      <c r="W117" s="233" t="s">
        <v>24</v>
      </c>
      <c r="X117" s="233" t="s">
        <v>24</v>
      </c>
      <c r="Y117" s="233" t="s">
        <v>24</v>
      </c>
      <c r="Z117" s="233" t="s">
        <v>24</v>
      </c>
      <c r="AA117" s="232"/>
      <c r="AB117" s="219" t="s">
        <v>660</v>
      </c>
      <c r="AC117" s="219" t="s">
        <v>661</v>
      </c>
      <c r="AD117" s="219" t="s">
        <v>662</v>
      </c>
      <c r="AE117" s="220" t="s">
        <v>12</v>
      </c>
      <c r="AF117" s="232" t="s">
        <v>4</v>
      </c>
      <c r="AG117" s="230">
        <v>40600</v>
      </c>
      <c r="AH117" s="230">
        <v>60000</v>
      </c>
      <c r="AI117" s="232" t="s">
        <v>6</v>
      </c>
      <c r="AJ117" s="230" t="s">
        <v>104</v>
      </c>
      <c r="AK117" s="232" t="s">
        <v>105</v>
      </c>
      <c r="AL117" s="210" t="s">
        <v>105</v>
      </c>
      <c r="AM117" s="210" t="s">
        <v>105</v>
      </c>
      <c r="AN117" s="210" t="s">
        <v>106</v>
      </c>
      <c r="AO117" s="232"/>
      <c r="AP117" s="234" t="s">
        <v>663</v>
      </c>
      <c r="AQ117" s="228" t="s">
        <v>105</v>
      </c>
      <c r="AR117" s="210" t="s">
        <v>105</v>
      </c>
      <c r="AS117" s="210" t="s">
        <v>105</v>
      </c>
      <c r="AT117" s="210" t="s">
        <v>105</v>
      </c>
      <c r="AU117" s="213">
        <v>45537</v>
      </c>
      <c r="AV117" s="210" t="s">
        <v>105</v>
      </c>
      <c r="AW117" s="210" t="s">
        <v>105</v>
      </c>
      <c r="AX117" s="213">
        <v>45541</v>
      </c>
      <c r="AY117" s="213">
        <v>45541</v>
      </c>
      <c r="AZ117" s="221" t="s">
        <v>220</v>
      </c>
      <c r="BA117" s="241" t="s">
        <v>502</v>
      </c>
      <c r="BB117" s="217" t="s">
        <v>105</v>
      </c>
      <c r="BC117" s="218">
        <f t="shared" si="10"/>
        <v>74</v>
      </c>
      <c r="BD117" s="210" t="str">
        <f t="shared" si="11"/>
        <v>INDENIZAÇÃO</v>
      </c>
      <c r="BE117" s="210" t="str">
        <f t="shared" si="9"/>
        <v>NÃO</v>
      </c>
      <c r="BF117" s="210" t="s">
        <v>24</v>
      </c>
      <c r="BG117" s="210" t="s">
        <v>24</v>
      </c>
      <c r="BH117" s="210" t="s">
        <v>24</v>
      </c>
      <c r="BI117" s="210" t="s">
        <v>105</v>
      </c>
      <c r="BJ117" s="210" t="s">
        <v>105</v>
      </c>
      <c r="BK117" s="213">
        <v>45621</v>
      </c>
      <c r="BL117" s="210" t="s">
        <v>105</v>
      </c>
      <c r="BM117" s="241" t="s">
        <v>220</v>
      </c>
      <c r="BN117" s="232"/>
      <c r="BO117" s="232"/>
      <c r="BP117" s="232"/>
      <c r="BQ117" s="232"/>
      <c r="BR117" s="232"/>
      <c r="BS117" s="232"/>
      <c r="BT117" s="232"/>
      <c r="BU117" s="232"/>
      <c r="BV117" s="232"/>
      <c r="BW117" s="232"/>
      <c r="BX117" s="232"/>
      <c r="BY117" s="232"/>
    </row>
    <row r="118" spans="1:162" ht="35.25" customHeight="1" x14ac:dyDescent="0.25">
      <c r="A118" s="210">
        <v>105</v>
      </c>
      <c r="B118" s="210" t="s">
        <v>99</v>
      </c>
      <c r="C118" s="210">
        <v>3</v>
      </c>
      <c r="D118" s="210">
        <v>0</v>
      </c>
      <c r="E118" s="210">
        <v>0</v>
      </c>
      <c r="F118" s="219" t="s">
        <v>664</v>
      </c>
      <c r="G118" s="210" t="s">
        <v>1</v>
      </c>
      <c r="H118" s="210" t="s">
        <v>2</v>
      </c>
      <c r="I118" s="210" t="s">
        <v>121</v>
      </c>
      <c r="J118" s="219" t="s">
        <v>665</v>
      </c>
      <c r="K118" s="219" t="s">
        <v>666</v>
      </c>
      <c r="L118" s="219" t="s">
        <v>667</v>
      </c>
      <c r="M118" s="232" t="s">
        <v>620</v>
      </c>
      <c r="N118" s="232" t="s">
        <v>14</v>
      </c>
      <c r="O118" s="213">
        <v>45819</v>
      </c>
      <c r="P118" s="236" t="s">
        <v>220</v>
      </c>
      <c r="Q118" s="221" t="s">
        <v>114</v>
      </c>
      <c r="R118" s="236"/>
      <c r="S118" s="236"/>
      <c r="T118" s="236"/>
      <c r="U118" s="236"/>
      <c r="V118" s="236"/>
      <c r="W118" s="236"/>
      <c r="X118" s="236"/>
      <c r="Y118" s="236"/>
      <c r="Z118" s="236"/>
      <c r="AA118" s="232"/>
      <c r="AB118" s="219" t="s">
        <v>668</v>
      </c>
      <c r="AC118" s="219" t="s">
        <v>669</v>
      </c>
      <c r="AD118" s="219" t="s">
        <v>670</v>
      </c>
      <c r="AE118" s="210" t="s">
        <v>3</v>
      </c>
      <c r="AF118" s="232" t="s">
        <v>620</v>
      </c>
      <c r="AG118" s="230">
        <v>22900</v>
      </c>
      <c r="AH118" s="230">
        <v>22900</v>
      </c>
      <c r="AI118" s="210" t="s">
        <v>6</v>
      </c>
      <c r="AJ118" s="230" t="s">
        <v>104</v>
      </c>
      <c r="AK118" s="232">
        <v>93650657</v>
      </c>
      <c r="AL118" s="210" t="s">
        <v>105</v>
      </c>
      <c r="AM118" s="210" t="s">
        <v>105</v>
      </c>
      <c r="AN118" s="250" t="s">
        <v>106</v>
      </c>
      <c r="AO118" s="325" t="s">
        <v>671</v>
      </c>
      <c r="AP118" s="234" t="s">
        <v>672</v>
      </c>
      <c r="AQ118" s="232" t="s">
        <v>105</v>
      </c>
      <c r="AR118" s="232" t="s">
        <v>105</v>
      </c>
      <c r="AS118" s="210" t="s">
        <v>105</v>
      </c>
      <c r="AT118" s="210" t="s">
        <v>105</v>
      </c>
      <c r="AU118" s="213">
        <v>45869</v>
      </c>
      <c r="AV118" s="210" t="s">
        <v>105</v>
      </c>
      <c r="AW118" s="210" t="s">
        <v>105</v>
      </c>
      <c r="AX118" s="213">
        <v>45917</v>
      </c>
      <c r="AY118" s="221">
        <v>45917</v>
      </c>
      <c r="AZ118" s="236" t="s">
        <v>220</v>
      </c>
      <c r="BA118" s="235" t="s">
        <v>502</v>
      </c>
      <c r="BB118" s="210" t="s">
        <v>105</v>
      </c>
      <c r="BC118" s="218">
        <f t="shared" si="10"/>
        <v>98</v>
      </c>
      <c r="BD118" s="210" t="str">
        <f t="shared" si="11"/>
        <v>INDENIZAÇÃO</v>
      </c>
      <c r="BE118" s="210" t="str">
        <f t="shared" si="9"/>
        <v>NÃO</v>
      </c>
      <c r="BF118" s="210" t="s">
        <v>24</v>
      </c>
      <c r="BG118" s="210" t="s">
        <v>24</v>
      </c>
      <c r="BH118" s="210" t="s">
        <v>24</v>
      </c>
      <c r="BI118" s="210" t="s">
        <v>105</v>
      </c>
      <c r="BJ118" s="210" t="s">
        <v>105</v>
      </c>
      <c r="BK118" s="213">
        <v>45951</v>
      </c>
      <c r="BL118" s="241" t="s">
        <v>622</v>
      </c>
      <c r="BM118" s="241"/>
      <c r="BN118" s="232"/>
      <c r="BO118" s="232"/>
      <c r="BP118" s="232"/>
      <c r="BQ118" s="232"/>
      <c r="BR118" s="232"/>
      <c r="BS118" s="232"/>
      <c r="BT118" s="232"/>
      <c r="BU118" s="232"/>
      <c r="BV118" s="232"/>
      <c r="BW118" s="232"/>
      <c r="BX118" s="232"/>
      <c r="BY118" s="232"/>
    </row>
    <row r="119" spans="1:162" ht="35.25" hidden="1" customHeight="1" x14ac:dyDescent="0.25">
      <c r="A119" s="210">
        <v>106</v>
      </c>
      <c r="B119" s="210" t="s">
        <v>99</v>
      </c>
      <c r="C119" s="210">
        <v>3</v>
      </c>
      <c r="D119" s="210">
        <v>0</v>
      </c>
      <c r="E119" s="210">
        <v>0</v>
      </c>
      <c r="F119" s="219" t="s">
        <v>673</v>
      </c>
      <c r="G119" s="220" t="s">
        <v>138</v>
      </c>
      <c r="H119" s="220" t="s">
        <v>2</v>
      </c>
      <c r="I119" s="220" t="s">
        <v>3</v>
      </c>
      <c r="J119" s="219" t="s">
        <v>674</v>
      </c>
      <c r="K119" s="219" t="s">
        <v>675</v>
      </c>
      <c r="L119" s="219" t="s">
        <v>676</v>
      </c>
      <c r="M119" s="232" t="s">
        <v>4</v>
      </c>
      <c r="N119" s="232" t="s">
        <v>312</v>
      </c>
      <c r="O119" s="213">
        <v>45019</v>
      </c>
      <c r="P119" s="233" t="s">
        <v>24</v>
      </c>
      <c r="Q119" s="233" t="s">
        <v>24</v>
      </c>
      <c r="R119" s="233" t="s">
        <v>24</v>
      </c>
      <c r="S119" s="233" t="s">
        <v>24</v>
      </c>
      <c r="T119" s="233" t="s">
        <v>24</v>
      </c>
      <c r="U119" s="233" t="s">
        <v>24</v>
      </c>
      <c r="V119" s="233" t="s">
        <v>24</v>
      </c>
      <c r="W119" s="233" t="s">
        <v>24</v>
      </c>
      <c r="X119" s="233" t="s">
        <v>24</v>
      </c>
      <c r="Y119" s="233" t="s">
        <v>24</v>
      </c>
      <c r="Z119" s="233" t="s">
        <v>24</v>
      </c>
      <c r="AA119" s="232" t="s">
        <v>677</v>
      </c>
      <c r="AB119" s="219" t="s">
        <v>674</v>
      </c>
      <c r="AC119" s="219" t="s">
        <v>675</v>
      </c>
      <c r="AD119" s="219" t="s">
        <v>676</v>
      </c>
      <c r="AE119" s="210" t="s">
        <v>3</v>
      </c>
      <c r="AF119" s="232" t="s">
        <v>4</v>
      </c>
      <c r="AG119" s="230">
        <v>0</v>
      </c>
      <c r="AH119" s="230">
        <v>0</v>
      </c>
      <c r="AI119" s="232" t="s">
        <v>677</v>
      </c>
      <c r="AJ119" s="230" t="s">
        <v>104</v>
      </c>
      <c r="AK119" s="232" t="s">
        <v>105</v>
      </c>
      <c r="AL119" s="232" t="s">
        <v>24</v>
      </c>
      <c r="AM119" s="232" t="s">
        <v>24</v>
      </c>
      <c r="AN119" s="232" t="s">
        <v>24</v>
      </c>
      <c r="AO119" s="232" t="s">
        <v>677</v>
      </c>
      <c r="AP119" s="234" t="s">
        <v>24</v>
      </c>
      <c r="AQ119" s="232" t="s">
        <v>24</v>
      </c>
      <c r="AR119" s="232" t="s">
        <v>24</v>
      </c>
      <c r="AS119" s="232" t="s">
        <v>24</v>
      </c>
      <c r="AT119" s="232" t="s">
        <v>24</v>
      </c>
      <c r="AU119" s="232" t="s">
        <v>24</v>
      </c>
      <c r="AV119" s="232" t="s">
        <v>24</v>
      </c>
      <c r="AW119" s="232" t="s">
        <v>24</v>
      </c>
      <c r="AX119" s="232" t="s">
        <v>24</v>
      </c>
      <c r="AY119" s="232" t="s">
        <v>24</v>
      </c>
      <c r="AZ119" s="221" t="s">
        <v>220</v>
      </c>
      <c r="BA119" s="235" t="s">
        <v>502</v>
      </c>
      <c r="BB119" s="217" t="s">
        <v>105</v>
      </c>
      <c r="BC119" s="218" t="s">
        <v>24</v>
      </c>
      <c r="BD119" s="210" t="str">
        <f t="shared" si="11"/>
        <v>INDENIZAÇÃO</v>
      </c>
      <c r="BE119" s="210" t="str">
        <f t="shared" si="9"/>
        <v>NÃO</v>
      </c>
      <c r="BF119" s="210" t="s">
        <v>24</v>
      </c>
      <c r="BG119" s="210" t="s">
        <v>24</v>
      </c>
      <c r="BH119" s="210" t="s">
        <v>24</v>
      </c>
      <c r="BI119" s="210" t="s">
        <v>24</v>
      </c>
      <c r="BJ119" s="210" t="s">
        <v>24</v>
      </c>
      <c r="BK119" s="210" t="s">
        <v>24</v>
      </c>
      <c r="BL119" s="210" t="s">
        <v>24</v>
      </c>
      <c r="BM119" s="251" t="s">
        <v>105</v>
      </c>
      <c r="BN119" s="232"/>
      <c r="BO119" s="232"/>
      <c r="BP119" s="232"/>
      <c r="BQ119" s="232"/>
      <c r="BR119" s="232"/>
      <c r="BS119" s="232"/>
      <c r="BT119" s="232"/>
      <c r="BU119" s="232"/>
      <c r="BV119" s="232"/>
      <c r="BW119" s="232"/>
      <c r="BX119" s="232"/>
      <c r="BY119" s="232"/>
    </row>
    <row r="120" spans="1:162" ht="35.25" customHeight="1" x14ac:dyDescent="0.25">
      <c r="A120" s="210">
        <v>107</v>
      </c>
      <c r="B120" s="210" t="s">
        <v>99</v>
      </c>
      <c r="C120" s="210">
        <v>3</v>
      </c>
      <c r="D120" s="210">
        <v>0</v>
      </c>
      <c r="E120" s="210">
        <v>0</v>
      </c>
      <c r="F120" s="219" t="s">
        <v>678</v>
      </c>
      <c r="G120" s="220" t="s">
        <v>1</v>
      </c>
      <c r="H120" s="220" t="s">
        <v>2</v>
      </c>
      <c r="I120" s="210" t="s">
        <v>12</v>
      </c>
      <c r="J120" s="219" t="s">
        <v>674</v>
      </c>
      <c r="K120" s="219" t="s">
        <v>675</v>
      </c>
      <c r="L120" s="219" t="s">
        <v>676</v>
      </c>
      <c r="M120" s="232" t="s">
        <v>4</v>
      </c>
      <c r="N120" s="232" t="s">
        <v>5</v>
      </c>
      <c r="O120" s="213">
        <v>45467</v>
      </c>
      <c r="P120" s="233" t="s">
        <v>24</v>
      </c>
      <c r="Q120" s="233" t="s">
        <v>24</v>
      </c>
      <c r="R120" s="233" t="s">
        <v>24</v>
      </c>
      <c r="S120" s="233" t="s">
        <v>24</v>
      </c>
      <c r="T120" s="233" t="s">
        <v>24</v>
      </c>
      <c r="U120" s="233" t="s">
        <v>24</v>
      </c>
      <c r="V120" s="233" t="s">
        <v>24</v>
      </c>
      <c r="W120" s="233" t="s">
        <v>24</v>
      </c>
      <c r="X120" s="233" t="s">
        <v>24</v>
      </c>
      <c r="Y120" s="233" t="s">
        <v>24</v>
      </c>
      <c r="Z120" s="233" t="s">
        <v>24</v>
      </c>
      <c r="AA120" s="232"/>
      <c r="AB120" s="219" t="s">
        <v>674</v>
      </c>
      <c r="AC120" s="219" t="s">
        <v>675</v>
      </c>
      <c r="AD120" s="219" t="s">
        <v>676</v>
      </c>
      <c r="AE120" s="220" t="s">
        <v>12</v>
      </c>
      <c r="AF120" s="232" t="s">
        <v>4</v>
      </c>
      <c r="AG120" s="230">
        <v>19100</v>
      </c>
      <c r="AH120" s="230">
        <v>49100</v>
      </c>
      <c r="AI120" s="232" t="s">
        <v>6</v>
      </c>
      <c r="AJ120" s="230" t="s">
        <v>104</v>
      </c>
      <c r="AK120" s="232" t="s">
        <v>105</v>
      </c>
      <c r="AL120" s="210" t="s">
        <v>105</v>
      </c>
      <c r="AM120" s="210" t="s">
        <v>105</v>
      </c>
      <c r="AN120" s="210" t="s">
        <v>106</v>
      </c>
      <c r="AO120" s="232"/>
      <c r="AP120" s="234" t="s">
        <v>679</v>
      </c>
      <c r="AQ120" s="228" t="s">
        <v>105</v>
      </c>
      <c r="AR120" s="210" t="s">
        <v>105</v>
      </c>
      <c r="AS120" s="210" t="s">
        <v>105</v>
      </c>
      <c r="AT120" s="210" t="s">
        <v>105</v>
      </c>
      <c r="AU120" s="213">
        <v>45537</v>
      </c>
      <c r="AV120" s="210" t="s">
        <v>105</v>
      </c>
      <c r="AW120" s="210" t="s">
        <v>105</v>
      </c>
      <c r="AX120" s="213">
        <v>45544</v>
      </c>
      <c r="AY120" s="221">
        <v>45544</v>
      </c>
      <c r="AZ120" s="221" t="s">
        <v>220</v>
      </c>
      <c r="BA120" s="232" t="s">
        <v>30</v>
      </c>
      <c r="BB120" s="217" t="s">
        <v>105</v>
      </c>
      <c r="BC120" s="218">
        <f t="shared" ref="BC120:BC151" si="12">IF(AY120-ON120=0,"",AY120-O120)</f>
        <v>77</v>
      </c>
      <c r="BD120" s="210" t="str">
        <f t="shared" si="11"/>
        <v>INDENIZAÇÃO</v>
      </c>
      <c r="BE120" s="210" t="str">
        <f t="shared" si="9"/>
        <v>NÃO</v>
      </c>
      <c r="BF120" s="210" t="s">
        <v>24</v>
      </c>
      <c r="BG120" s="210" t="s">
        <v>24</v>
      </c>
      <c r="BH120" s="210" t="s">
        <v>24</v>
      </c>
      <c r="BI120" s="210" t="s">
        <v>105</v>
      </c>
      <c r="BJ120" s="210" t="s">
        <v>105</v>
      </c>
      <c r="BK120" s="213">
        <v>45621</v>
      </c>
      <c r="BL120" s="210" t="s">
        <v>105</v>
      </c>
      <c r="BM120" s="241" t="s">
        <v>220</v>
      </c>
      <c r="BN120" s="232"/>
      <c r="BO120" s="232"/>
      <c r="BP120" s="232"/>
      <c r="BQ120" s="232"/>
      <c r="BR120" s="232"/>
      <c r="BS120" s="232"/>
      <c r="BT120" s="232"/>
      <c r="BU120" s="232"/>
      <c r="BV120" s="232"/>
      <c r="BW120" s="232"/>
      <c r="BX120" s="232"/>
      <c r="BY120" s="232"/>
    </row>
    <row r="121" spans="1:162" ht="35.25" customHeight="1" x14ac:dyDescent="0.25">
      <c r="A121" s="210">
        <v>108</v>
      </c>
      <c r="B121" s="210" t="s">
        <v>99</v>
      </c>
      <c r="C121" s="210">
        <v>3</v>
      </c>
      <c r="D121" s="210">
        <v>0</v>
      </c>
      <c r="E121" s="210">
        <v>0</v>
      </c>
      <c r="F121" s="219" t="s">
        <v>680</v>
      </c>
      <c r="G121" s="220" t="s">
        <v>1</v>
      </c>
      <c r="H121" s="220" t="s">
        <v>2</v>
      </c>
      <c r="I121" s="210" t="s">
        <v>121</v>
      </c>
      <c r="J121" s="219" t="s">
        <v>681</v>
      </c>
      <c r="K121" s="219" t="s">
        <v>682</v>
      </c>
      <c r="L121" s="219" t="s">
        <v>683</v>
      </c>
      <c r="M121" s="232" t="s">
        <v>4</v>
      </c>
      <c r="N121" s="232" t="s">
        <v>14</v>
      </c>
      <c r="O121" s="213">
        <v>45467</v>
      </c>
      <c r="P121" s="251">
        <v>45491</v>
      </c>
      <c r="Q121" s="229" t="s">
        <v>114</v>
      </c>
      <c r="R121" s="251" t="s">
        <v>105</v>
      </c>
      <c r="S121" s="251" t="s">
        <v>105</v>
      </c>
      <c r="T121" s="251" t="s">
        <v>105</v>
      </c>
      <c r="U121" s="251">
        <v>45505</v>
      </c>
      <c r="V121" s="251" t="s">
        <v>105</v>
      </c>
      <c r="W121" s="251">
        <v>45505</v>
      </c>
      <c r="X121" s="251">
        <v>45524</v>
      </c>
      <c r="Y121" s="251">
        <v>45532</v>
      </c>
      <c r="Z121" s="251"/>
      <c r="AA121" s="232"/>
      <c r="AB121" s="219" t="s">
        <v>684</v>
      </c>
      <c r="AC121" s="219" t="s">
        <v>685</v>
      </c>
      <c r="AD121" s="219" t="s">
        <v>686</v>
      </c>
      <c r="AE121" s="210" t="s">
        <v>3</v>
      </c>
      <c r="AF121" s="232" t="s">
        <v>4</v>
      </c>
      <c r="AG121" s="230">
        <v>39100</v>
      </c>
      <c r="AH121" s="230">
        <v>39100</v>
      </c>
      <c r="AI121" s="232" t="s">
        <v>6</v>
      </c>
      <c r="AJ121" s="230" t="s">
        <v>104</v>
      </c>
      <c r="AK121" s="232" t="s">
        <v>105</v>
      </c>
      <c r="AL121" s="210" t="s">
        <v>105</v>
      </c>
      <c r="AM121" s="210" t="s">
        <v>105</v>
      </c>
      <c r="AN121" s="210" t="s">
        <v>106</v>
      </c>
      <c r="AO121" s="232"/>
      <c r="AP121" s="234" t="s">
        <v>687</v>
      </c>
      <c r="AQ121" s="228" t="s">
        <v>105</v>
      </c>
      <c r="AR121" s="210" t="s">
        <v>105</v>
      </c>
      <c r="AS121" s="210" t="s">
        <v>105</v>
      </c>
      <c r="AT121" s="210" t="s">
        <v>105</v>
      </c>
      <c r="AU121" s="233">
        <v>45558</v>
      </c>
      <c r="AV121" s="210" t="s">
        <v>105</v>
      </c>
      <c r="AW121" s="210" t="s">
        <v>105</v>
      </c>
      <c r="AX121" s="213">
        <v>45926</v>
      </c>
      <c r="AY121" s="221">
        <v>45561</v>
      </c>
      <c r="AZ121" s="221" t="s">
        <v>220</v>
      </c>
      <c r="BA121" s="235" t="s">
        <v>502</v>
      </c>
      <c r="BB121" s="217" t="s">
        <v>105</v>
      </c>
      <c r="BC121" s="218">
        <f t="shared" si="12"/>
        <v>94</v>
      </c>
      <c r="BD121" s="210" t="str">
        <f t="shared" si="11"/>
        <v>INDENIZAÇÃO</v>
      </c>
      <c r="BE121" s="210" t="str">
        <f t="shared" si="9"/>
        <v>NÃO</v>
      </c>
      <c r="BF121" s="210" t="s">
        <v>24</v>
      </c>
      <c r="BG121" s="210" t="s">
        <v>24</v>
      </c>
      <c r="BH121" s="210" t="s">
        <v>24</v>
      </c>
      <c r="BI121" s="210" t="s">
        <v>105</v>
      </c>
      <c r="BJ121" s="210" t="s">
        <v>105</v>
      </c>
      <c r="BK121" s="213">
        <v>45621</v>
      </c>
      <c r="BL121" s="210" t="s">
        <v>105</v>
      </c>
      <c r="BM121" s="241" t="s">
        <v>220</v>
      </c>
      <c r="BN121" s="232"/>
      <c r="BO121" s="232"/>
      <c r="BP121" s="232"/>
      <c r="BQ121" s="232"/>
      <c r="BR121" s="232"/>
      <c r="BS121" s="232"/>
      <c r="BT121" s="232"/>
      <c r="BU121" s="232"/>
      <c r="BV121" s="232"/>
      <c r="BW121" s="232"/>
      <c r="BX121" s="232"/>
      <c r="BY121" s="232"/>
    </row>
    <row r="122" spans="1:162" ht="35.25" hidden="1" customHeight="1" x14ac:dyDescent="0.25">
      <c r="A122" s="210">
        <v>109</v>
      </c>
      <c r="B122" s="210" t="s">
        <v>99</v>
      </c>
      <c r="C122" s="210">
        <v>3</v>
      </c>
      <c r="D122" s="210">
        <v>0</v>
      </c>
      <c r="E122" s="210">
        <v>0</v>
      </c>
      <c r="F122" s="219" t="s">
        <v>688</v>
      </c>
      <c r="G122" s="210" t="s">
        <v>1</v>
      </c>
      <c r="H122" s="210" t="s">
        <v>2</v>
      </c>
      <c r="I122" s="210" t="s">
        <v>12</v>
      </c>
      <c r="J122" s="219" t="s">
        <v>689</v>
      </c>
      <c r="K122" s="219" t="s">
        <v>690</v>
      </c>
      <c r="L122" s="219" t="s">
        <v>691</v>
      </c>
      <c r="M122" s="220" t="s">
        <v>4</v>
      </c>
      <c r="N122" s="220" t="s">
        <v>14</v>
      </c>
      <c r="O122" s="213">
        <v>45019</v>
      </c>
      <c r="P122" s="233">
        <v>45594</v>
      </c>
      <c r="Q122" s="213" t="s">
        <v>114</v>
      </c>
      <c r="R122" s="213" t="s">
        <v>105</v>
      </c>
      <c r="S122" s="213" t="s">
        <v>105</v>
      </c>
      <c r="T122" s="213" t="s">
        <v>105</v>
      </c>
      <c r="U122" s="233">
        <v>45590</v>
      </c>
      <c r="V122" s="213" t="s">
        <v>105</v>
      </c>
      <c r="W122" s="233">
        <v>45590</v>
      </c>
      <c r="X122" s="233">
        <v>45604</v>
      </c>
      <c r="Y122" s="233">
        <v>45607</v>
      </c>
      <c r="Z122" s="233"/>
      <c r="AA122" s="232"/>
      <c r="AB122" s="219" t="s">
        <v>689</v>
      </c>
      <c r="AC122" s="219" t="s">
        <v>690</v>
      </c>
      <c r="AD122" s="219" t="s">
        <v>691</v>
      </c>
      <c r="AE122" s="220" t="s">
        <v>12</v>
      </c>
      <c r="AF122" s="210" t="s">
        <v>4</v>
      </c>
      <c r="AG122" s="230" t="s">
        <v>139</v>
      </c>
      <c r="AH122" s="230" t="s">
        <v>139</v>
      </c>
      <c r="AI122" s="232"/>
      <c r="AJ122" s="230" t="s">
        <v>104</v>
      </c>
      <c r="AK122" s="232"/>
      <c r="AL122" s="232"/>
      <c r="AM122" s="232"/>
      <c r="AN122" s="232"/>
      <c r="AO122" s="232"/>
      <c r="AP122" s="234"/>
      <c r="AQ122" s="232"/>
      <c r="AR122" s="232"/>
      <c r="AS122" s="232"/>
      <c r="AT122" s="232"/>
      <c r="AU122" s="232"/>
      <c r="AV122" s="232"/>
      <c r="AW122" s="232"/>
      <c r="AX122" s="233"/>
      <c r="AY122" s="232"/>
      <c r="AZ122" s="233"/>
      <c r="BA122" s="220" t="s">
        <v>30</v>
      </c>
      <c r="BB122" s="232"/>
      <c r="BC122" s="218" t="str">
        <f t="shared" si="12"/>
        <v/>
      </c>
      <c r="BD122" s="210"/>
      <c r="BE122" s="210" t="str">
        <f t="shared" si="9"/>
        <v>NÃO</v>
      </c>
      <c r="BF122" s="210"/>
      <c r="BG122" s="210"/>
      <c r="BH122" s="210"/>
      <c r="BI122" s="210"/>
      <c r="BJ122" s="210"/>
      <c r="BK122" s="210"/>
      <c r="BL122" s="210"/>
      <c r="BM122" s="210"/>
      <c r="BN122" s="232"/>
      <c r="BO122" s="232"/>
      <c r="BP122" s="232"/>
      <c r="BQ122" s="232"/>
      <c r="BR122" s="232"/>
      <c r="BS122" s="232"/>
      <c r="BT122" s="232"/>
      <c r="BU122" s="232"/>
      <c r="BV122" s="232"/>
      <c r="BW122" s="232"/>
      <c r="BX122" s="232"/>
      <c r="BY122" s="232"/>
    </row>
    <row r="123" spans="1:162" ht="35.25" customHeight="1" x14ac:dyDescent="0.25">
      <c r="A123" s="210">
        <v>110</v>
      </c>
      <c r="B123" s="210" t="s">
        <v>99</v>
      </c>
      <c r="C123" s="210">
        <v>3</v>
      </c>
      <c r="D123" s="210">
        <v>0</v>
      </c>
      <c r="E123" s="210">
        <v>0</v>
      </c>
      <c r="F123" s="219" t="s">
        <v>692</v>
      </c>
      <c r="G123" s="220" t="s">
        <v>1</v>
      </c>
      <c r="H123" s="220" t="s">
        <v>2</v>
      </c>
      <c r="I123" s="210" t="s">
        <v>12</v>
      </c>
      <c r="J123" s="219" t="s">
        <v>693</v>
      </c>
      <c r="K123" s="219" t="s">
        <v>694</v>
      </c>
      <c r="L123" s="219" t="s">
        <v>695</v>
      </c>
      <c r="M123" s="232" t="s">
        <v>4</v>
      </c>
      <c r="N123" s="232" t="s">
        <v>5</v>
      </c>
      <c r="O123" s="213">
        <v>45019</v>
      </c>
      <c r="P123" s="233" t="s">
        <v>24</v>
      </c>
      <c r="Q123" s="233" t="s">
        <v>24</v>
      </c>
      <c r="R123" s="233" t="s">
        <v>24</v>
      </c>
      <c r="S123" s="233" t="s">
        <v>24</v>
      </c>
      <c r="T123" s="233" t="s">
        <v>24</v>
      </c>
      <c r="U123" s="233" t="s">
        <v>24</v>
      </c>
      <c r="V123" s="233" t="s">
        <v>24</v>
      </c>
      <c r="W123" s="233" t="s">
        <v>24</v>
      </c>
      <c r="X123" s="233" t="s">
        <v>24</v>
      </c>
      <c r="Y123" s="233" t="s">
        <v>24</v>
      </c>
      <c r="Z123" s="233" t="s">
        <v>24</v>
      </c>
      <c r="AA123" s="232"/>
      <c r="AB123" s="219" t="s">
        <v>693</v>
      </c>
      <c r="AC123" s="219" t="s">
        <v>694</v>
      </c>
      <c r="AD123" s="219" t="s">
        <v>695</v>
      </c>
      <c r="AE123" s="220" t="s">
        <v>12</v>
      </c>
      <c r="AF123" s="232" t="s">
        <v>4</v>
      </c>
      <c r="AG123" s="230">
        <v>60500</v>
      </c>
      <c r="AH123" s="230">
        <v>60500</v>
      </c>
      <c r="AI123" s="232" t="s">
        <v>6</v>
      </c>
      <c r="AJ123" s="230" t="s">
        <v>104</v>
      </c>
      <c r="AK123" s="232" t="s">
        <v>105</v>
      </c>
      <c r="AL123" s="210" t="s">
        <v>105</v>
      </c>
      <c r="AM123" s="210" t="s">
        <v>105</v>
      </c>
      <c r="AN123" s="232" t="s">
        <v>106</v>
      </c>
      <c r="AO123" s="232"/>
      <c r="AP123" s="234" t="s">
        <v>696</v>
      </c>
      <c r="AQ123" s="210" t="s">
        <v>105</v>
      </c>
      <c r="AR123" s="210" t="s">
        <v>105</v>
      </c>
      <c r="AS123" s="210" t="s">
        <v>105</v>
      </c>
      <c r="AT123" s="210" t="s">
        <v>105</v>
      </c>
      <c r="AU123" s="233">
        <v>45569</v>
      </c>
      <c r="AV123" s="210" t="s">
        <v>105</v>
      </c>
      <c r="AW123" s="210" t="s">
        <v>105</v>
      </c>
      <c r="AX123" s="233">
        <v>45579</v>
      </c>
      <c r="AY123" s="221">
        <v>45579</v>
      </c>
      <c r="AZ123" s="221" t="s">
        <v>220</v>
      </c>
      <c r="BA123" s="241" t="s">
        <v>502</v>
      </c>
      <c r="BB123" s="217" t="s">
        <v>105</v>
      </c>
      <c r="BC123" s="218">
        <f t="shared" si="12"/>
        <v>560</v>
      </c>
      <c r="BD123" s="210" t="str">
        <f t="shared" ref="BD123:BD154" si="13">IF(AND(AI123&lt;&gt;"SIM",AI123="UH"),"AA","INDENIZAÇÃO")</f>
        <v>INDENIZAÇÃO</v>
      </c>
      <c r="BE123" s="210" t="str">
        <f t="shared" si="9"/>
        <v>NÃO</v>
      </c>
      <c r="BF123" s="210" t="s">
        <v>24</v>
      </c>
      <c r="BG123" s="210" t="s">
        <v>24</v>
      </c>
      <c r="BH123" s="210" t="s">
        <v>24</v>
      </c>
      <c r="BI123" s="210" t="s">
        <v>105</v>
      </c>
      <c r="BJ123" s="210" t="s">
        <v>105</v>
      </c>
      <c r="BK123" s="213">
        <v>45621</v>
      </c>
      <c r="BL123" s="210" t="s">
        <v>105</v>
      </c>
      <c r="BM123" s="241" t="s">
        <v>220</v>
      </c>
      <c r="BN123" s="210"/>
      <c r="BO123" s="210"/>
      <c r="BP123" s="210"/>
      <c r="BQ123" s="210"/>
      <c r="BR123" s="210"/>
      <c r="BS123" s="210"/>
      <c r="BT123" s="210"/>
      <c r="BU123" s="210"/>
      <c r="BV123" s="210"/>
      <c r="BW123" s="210"/>
      <c r="BX123" s="210"/>
      <c r="BY123" s="210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4"/>
      <c r="CM123" s="194"/>
      <c r="CN123" s="194"/>
      <c r="CO123" s="194"/>
      <c r="CP123" s="194"/>
      <c r="CQ123" s="194"/>
      <c r="CR123" s="194"/>
      <c r="CS123" s="194"/>
      <c r="CT123" s="194"/>
      <c r="CU123" s="194"/>
      <c r="CV123" s="194"/>
      <c r="CW123" s="194"/>
      <c r="CX123" s="194"/>
      <c r="CY123" s="194"/>
      <c r="CZ123" s="194"/>
      <c r="DA123" s="194"/>
      <c r="DB123" s="194"/>
      <c r="DC123" s="194"/>
      <c r="DD123" s="194"/>
      <c r="DE123" s="194"/>
      <c r="DF123" s="194"/>
      <c r="DG123" s="194"/>
      <c r="DH123" s="194"/>
      <c r="DI123" s="194"/>
      <c r="DJ123" s="194"/>
      <c r="DK123" s="194"/>
      <c r="DL123" s="194"/>
      <c r="DM123" s="194"/>
      <c r="DN123" s="194"/>
      <c r="DO123" s="194"/>
      <c r="DP123" s="194"/>
      <c r="DQ123" s="194"/>
      <c r="DR123" s="194"/>
      <c r="DS123" s="194"/>
      <c r="DT123" s="194"/>
      <c r="DU123" s="194"/>
      <c r="DV123" s="194"/>
      <c r="DW123" s="194"/>
      <c r="DX123" s="194"/>
      <c r="DY123" s="194"/>
      <c r="DZ123" s="194"/>
      <c r="EA123" s="194"/>
      <c r="EB123" s="194"/>
      <c r="EC123" s="194"/>
      <c r="ED123" s="194"/>
      <c r="EE123" s="194"/>
      <c r="EF123" s="194"/>
      <c r="EG123" s="194"/>
      <c r="EH123" s="194"/>
      <c r="EI123" s="194"/>
      <c r="EJ123" s="194"/>
      <c r="EK123" s="194"/>
      <c r="EL123" s="194"/>
      <c r="EM123" s="194"/>
      <c r="EN123" s="194"/>
      <c r="EO123" s="194"/>
      <c r="EP123" s="194"/>
      <c r="EQ123" s="194"/>
      <c r="ER123" s="194"/>
      <c r="ES123" s="194"/>
      <c r="ET123" s="194"/>
      <c r="EU123" s="194"/>
      <c r="EV123" s="194"/>
      <c r="EW123" s="194"/>
      <c r="EX123" s="194"/>
      <c r="EY123" s="194"/>
      <c r="EZ123" s="194"/>
      <c r="FA123" s="194"/>
      <c r="FB123" s="194"/>
      <c r="FC123" s="194"/>
      <c r="FD123" s="194"/>
      <c r="FE123" s="194"/>
      <c r="FF123" s="194"/>
    </row>
    <row r="124" spans="1:162" ht="35.25" customHeight="1" x14ac:dyDescent="0.25">
      <c r="A124" s="210">
        <v>111</v>
      </c>
      <c r="B124" s="210" t="s">
        <v>99</v>
      </c>
      <c r="C124" s="210">
        <v>3</v>
      </c>
      <c r="D124" s="210">
        <v>0</v>
      </c>
      <c r="E124" s="210">
        <v>0</v>
      </c>
      <c r="F124" s="219" t="s">
        <v>697</v>
      </c>
      <c r="G124" s="220" t="s">
        <v>1</v>
      </c>
      <c r="H124" s="220" t="s">
        <v>2</v>
      </c>
      <c r="I124" s="210" t="s">
        <v>121</v>
      </c>
      <c r="J124" s="219" t="s">
        <v>698</v>
      </c>
      <c r="K124" s="219" t="s">
        <v>699</v>
      </c>
      <c r="L124" s="219" t="s">
        <v>700</v>
      </c>
      <c r="M124" s="232" t="s">
        <v>4</v>
      </c>
      <c r="N124" s="232" t="s">
        <v>14</v>
      </c>
      <c r="O124" s="213">
        <v>45496</v>
      </c>
      <c r="P124" s="251" t="s">
        <v>105</v>
      </c>
      <c r="Q124" s="229" t="s">
        <v>114</v>
      </c>
      <c r="R124" s="251" t="s">
        <v>105</v>
      </c>
      <c r="S124" s="251" t="s">
        <v>105</v>
      </c>
      <c r="T124" s="251" t="s">
        <v>105</v>
      </c>
      <c r="U124" s="251">
        <v>45491</v>
      </c>
      <c r="V124" s="251" t="s">
        <v>105</v>
      </c>
      <c r="W124" s="251">
        <v>45505</v>
      </c>
      <c r="X124" s="251">
        <v>45524</v>
      </c>
      <c r="Y124" s="251">
        <v>45526</v>
      </c>
      <c r="Z124" s="251"/>
      <c r="AA124" s="232"/>
      <c r="AB124" s="219" t="s">
        <v>701</v>
      </c>
      <c r="AC124" s="219" t="s">
        <v>702</v>
      </c>
      <c r="AD124" s="219" t="s">
        <v>703</v>
      </c>
      <c r="AE124" s="210" t="s">
        <v>3</v>
      </c>
      <c r="AF124" s="232" t="s">
        <v>4</v>
      </c>
      <c r="AG124" s="230">
        <v>9700</v>
      </c>
      <c r="AH124" s="230">
        <v>9700</v>
      </c>
      <c r="AI124" s="232" t="s">
        <v>6</v>
      </c>
      <c r="AJ124" s="230" t="s">
        <v>104</v>
      </c>
      <c r="AK124" s="232" t="s">
        <v>105</v>
      </c>
      <c r="AL124" s="210" t="s">
        <v>105</v>
      </c>
      <c r="AM124" s="210" t="s">
        <v>105</v>
      </c>
      <c r="AN124" s="210" t="s">
        <v>106</v>
      </c>
      <c r="AO124" s="232"/>
      <c r="AP124" s="234" t="s">
        <v>704</v>
      </c>
      <c r="AQ124" s="232" t="s">
        <v>105</v>
      </c>
      <c r="AR124" s="232" t="s">
        <v>105</v>
      </c>
      <c r="AS124" s="232" t="s">
        <v>105</v>
      </c>
      <c r="AT124" s="232" t="s">
        <v>105</v>
      </c>
      <c r="AU124" s="251">
        <v>45726</v>
      </c>
      <c r="AV124" s="232" t="s">
        <v>105</v>
      </c>
      <c r="AW124" s="232" t="s">
        <v>105</v>
      </c>
      <c r="AX124" s="233">
        <v>45729</v>
      </c>
      <c r="AY124" s="236">
        <v>45729</v>
      </c>
      <c r="AZ124" s="236" t="s">
        <v>220</v>
      </c>
      <c r="BA124" s="235" t="s">
        <v>502</v>
      </c>
      <c r="BB124" s="210" t="s">
        <v>105</v>
      </c>
      <c r="BC124" s="218">
        <f t="shared" si="12"/>
        <v>233</v>
      </c>
      <c r="BD124" s="210" t="str">
        <f t="shared" si="13"/>
        <v>INDENIZAÇÃO</v>
      </c>
      <c r="BE124" s="210" t="str">
        <f t="shared" si="9"/>
        <v>NÃO</v>
      </c>
      <c r="BF124" s="210" t="s">
        <v>24</v>
      </c>
      <c r="BG124" s="210" t="s">
        <v>24</v>
      </c>
      <c r="BH124" s="210" t="s">
        <v>24</v>
      </c>
      <c r="BI124" s="232" t="s">
        <v>105</v>
      </c>
      <c r="BJ124" s="232" t="s">
        <v>105</v>
      </c>
      <c r="BK124" s="213">
        <v>45783</v>
      </c>
      <c r="BL124" s="232" t="s">
        <v>105</v>
      </c>
      <c r="BM124" s="241" t="s">
        <v>220</v>
      </c>
      <c r="BN124" s="232"/>
      <c r="BO124" s="232"/>
      <c r="BP124" s="232"/>
      <c r="BQ124" s="232"/>
      <c r="BR124" s="232"/>
      <c r="BS124" s="232"/>
      <c r="BT124" s="232"/>
      <c r="BU124" s="232"/>
      <c r="BV124" s="232"/>
      <c r="BW124" s="232"/>
      <c r="BX124" s="232"/>
      <c r="BY124" s="232"/>
    </row>
    <row r="125" spans="1:162" ht="35.25" customHeight="1" x14ac:dyDescent="0.25">
      <c r="A125" s="210">
        <v>112</v>
      </c>
      <c r="B125" s="210" t="s">
        <v>99</v>
      </c>
      <c r="C125" s="210">
        <v>3</v>
      </c>
      <c r="D125" s="210">
        <v>0</v>
      </c>
      <c r="E125" s="210">
        <v>0</v>
      </c>
      <c r="F125" s="219" t="s">
        <v>705</v>
      </c>
      <c r="G125" s="210" t="s">
        <v>1</v>
      </c>
      <c r="H125" s="210" t="s">
        <v>2</v>
      </c>
      <c r="I125" s="210" t="s">
        <v>12</v>
      </c>
      <c r="J125" s="219" t="s">
        <v>706</v>
      </c>
      <c r="K125" s="219" t="s">
        <v>707</v>
      </c>
      <c r="L125" s="219" t="s">
        <v>708</v>
      </c>
      <c r="M125" s="232" t="s">
        <v>4</v>
      </c>
      <c r="N125" s="210" t="s">
        <v>5</v>
      </c>
      <c r="O125" s="213">
        <v>45587</v>
      </c>
      <c r="P125" s="233" t="s">
        <v>24</v>
      </c>
      <c r="Q125" s="233" t="s">
        <v>24</v>
      </c>
      <c r="R125" s="233" t="s">
        <v>24</v>
      </c>
      <c r="S125" s="233" t="s">
        <v>24</v>
      </c>
      <c r="T125" s="233" t="s">
        <v>24</v>
      </c>
      <c r="U125" s="233" t="s">
        <v>24</v>
      </c>
      <c r="V125" s="233" t="s">
        <v>24</v>
      </c>
      <c r="W125" s="233" t="s">
        <v>24</v>
      </c>
      <c r="X125" s="233" t="s">
        <v>24</v>
      </c>
      <c r="Y125" s="233" t="s">
        <v>24</v>
      </c>
      <c r="Z125" s="233" t="s">
        <v>24</v>
      </c>
      <c r="AA125" s="232"/>
      <c r="AB125" s="219" t="s">
        <v>706</v>
      </c>
      <c r="AC125" s="219" t="s">
        <v>707</v>
      </c>
      <c r="AD125" s="219" t="s">
        <v>708</v>
      </c>
      <c r="AE125" s="210" t="s">
        <v>12</v>
      </c>
      <c r="AF125" s="232" t="s">
        <v>4</v>
      </c>
      <c r="AG125" s="230">
        <v>40900</v>
      </c>
      <c r="AH125" s="230">
        <v>60000</v>
      </c>
      <c r="AI125" s="210" t="s">
        <v>6</v>
      </c>
      <c r="AJ125" s="230" t="s">
        <v>104</v>
      </c>
      <c r="AK125" s="232" t="s">
        <v>105</v>
      </c>
      <c r="AL125" s="232" t="s">
        <v>105</v>
      </c>
      <c r="AM125" s="210" t="s">
        <v>105</v>
      </c>
      <c r="AN125" s="232" t="s">
        <v>106</v>
      </c>
      <c r="AO125" s="232"/>
      <c r="AP125" s="234" t="s">
        <v>709</v>
      </c>
      <c r="AQ125" s="232" t="s">
        <v>105</v>
      </c>
      <c r="AR125" s="232" t="s">
        <v>105</v>
      </c>
      <c r="AS125" s="210" t="s">
        <v>105</v>
      </c>
      <c r="AT125" s="210" t="s">
        <v>105</v>
      </c>
      <c r="AU125" s="213">
        <v>45755</v>
      </c>
      <c r="AV125" s="210" t="s">
        <v>105</v>
      </c>
      <c r="AW125" s="210" t="s">
        <v>105</v>
      </c>
      <c r="AX125" s="213">
        <v>45763</v>
      </c>
      <c r="AY125" s="221">
        <v>45763</v>
      </c>
      <c r="AZ125" s="235" t="s">
        <v>220</v>
      </c>
      <c r="BA125" s="235" t="s">
        <v>502</v>
      </c>
      <c r="BB125" s="210" t="s">
        <v>105</v>
      </c>
      <c r="BC125" s="218">
        <f t="shared" si="12"/>
        <v>176</v>
      </c>
      <c r="BD125" s="210" t="str">
        <f t="shared" si="13"/>
        <v>INDENIZAÇÃO</v>
      </c>
      <c r="BE125" s="210" t="str">
        <f t="shared" si="9"/>
        <v>NÃO</v>
      </c>
      <c r="BF125" s="210" t="s">
        <v>24</v>
      </c>
      <c r="BG125" s="210" t="s">
        <v>24</v>
      </c>
      <c r="BH125" s="210" t="s">
        <v>24</v>
      </c>
      <c r="BI125" s="232" t="s">
        <v>105</v>
      </c>
      <c r="BJ125" s="232" t="s">
        <v>105</v>
      </c>
      <c r="BK125" s="213">
        <v>45783</v>
      </c>
      <c r="BL125" s="232" t="s">
        <v>105</v>
      </c>
      <c r="BM125" s="241" t="s">
        <v>220</v>
      </c>
      <c r="BN125" s="232"/>
      <c r="BO125" s="232"/>
      <c r="BP125" s="232"/>
      <c r="BQ125" s="232"/>
      <c r="BR125" s="232"/>
      <c r="BS125" s="232"/>
      <c r="BT125" s="232"/>
      <c r="BU125" s="232"/>
      <c r="BV125" s="232"/>
      <c r="BW125" s="232"/>
      <c r="BX125" s="232"/>
      <c r="BY125" s="232"/>
    </row>
    <row r="126" spans="1:162" ht="35.25" customHeight="1" x14ac:dyDescent="0.25">
      <c r="A126" s="210">
        <v>113</v>
      </c>
      <c r="B126" s="210" t="s">
        <v>99</v>
      </c>
      <c r="C126" s="210">
        <v>3</v>
      </c>
      <c r="D126" s="210">
        <v>0</v>
      </c>
      <c r="E126" s="210">
        <v>0</v>
      </c>
      <c r="F126" s="219" t="s">
        <v>710</v>
      </c>
      <c r="G126" s="220" t="s">
        <v>1</v>
      </c>
      <c r="H126" s="220" t="s">
        <v>2</v>
      </c>
      <c r="I126" s="210" t="s">
        <v>12</v>
      </c>
      <c r="J126" s="219" t="s">
        <v>711</v>
      </c>
      <c r="K126" s="324" t="s">
        <v>712</v>
      </c>
      <c r="L126" s="324" t="s">
        <v>713</v>
      </c>
      <c r="M126" s="232" t="s">
        <v>4</v>
      </c>
      <c r="N126" s="232" t="s">
        <v>5</v>
      </c>
      <c r="O126" s="213">
        <v>45467</v>
      </c>
      <c r="P126" s="233" t="s">
        <v>24</v>
      </c>
      <c r="Q126" s="233" t="s">
        <v>24</v>
      </c>
      <c r="R126" s="233" t="s">
        <v>24</v>
      </c>
      <c r="S126" s="233" t="s">
        <v>24</v>
      </c>
      <c r="T126" s="233" t="s">
        <v>24</v>
      </c>
      <c r="U126" s="233" t="s">
        <v>24</v>
      </c>
      <c r="V126" s="233" t="s">
        <v>24</v>
      </c>
      <c r="W126" s="233" t="s">
        <v>24</v>
      </c>
      <c r="X126" s="233" t="s">
        <v>24</v>
      </c>
      <c r="Y126" s="233" t="s">
        <v>24</v>
      </c>
      <c r="Z126" s="233" t="s">
        <v>24</v>
      </c>
      <c r="AA126" s="232"/>
      <c r="AB126" s="219" t="s">
        <v>711</v>
      </c>
      <c r="AC126" s="219" t="s">
        <v>712</v>
      </c>
      <c r="AD126" s="219" t="s">
        <v>713</v>
      </c>
      <c r="AE126" s="220" t="s">
        <v>12</v>
      </c>
      <c r="AF126" s="232" t="s">
        <v>4</v>
      </c>
      <c r="AG126" s="230">
        <v>25300</v>
      </c>
      <c r="AH126" s="230">
        <v>55300</v>
      </c>
      <c r="AI126" s="232" t="s">
        <v>6</v>
      </c>
      <c r="AJ126" s="230" t="s">
        <v>104</v>
      </c>
      <c r="AK126" s="232" t="s">
        <v>105</v>
      </c>
      <c r="AL126" s="210" t="s">
        <v>105</v>
      </c>
      <c r="AM126" s="210" t="s">
        <v>105</v>
      </c>
      <c r="AN126" s="210" t="s">
        <v>106</v>
      </c>
      <c r="AO126" s="232"/>
      <c r="AP126" s="234" t="s">
        <v>714</v>
      </c>
      <c r="AQ126" s="228" t="s">
        <v>105</v>
      </c>
      <c r="AR126" s="210" t="s">
        <v>105</v>
      </c>
      <c r="AS126" s="210" t="s">
        <v>105</v>
      </c>
      <c r="AT126" s="210" t="s">
        <v>105</v>
      </c>
      <c r="AU126" s="213">
        <v>45537</v>
      </c>
      <c r="AV126" s="210" t="s">
        <v>105</v>
      </c>
      <c r="AW126" s="210" t="s">
        <v>105</v>
      </c>
      <c r="AX126" s="213">
        <v>45541</v>
      </c>
      <c r="AY126" s="213">
        <v>45541</v>
      </c>
      <c r="AZ126" s="221" t="s">
        <v>220</v>
      </c>
      <c r="BA126" s="232" t="s">
        <v>30</v>
      </c>
      <c r="BB126" s="217" t="s">
        <v>105</v>
      </c>
      <c r="BC126" s="218">
        <f t="shared" si="12"/>
        <v>74</v>
      </c>
      <c r="BD126" s="210" t="str">
        <f t="shared" si="13"/>
        <v>INDENIZAÇÃO</v>
      </c>
      <c r="BE126" s="210" t="str">
        <f t="shared" si="9"/>
        <v>NÃO</v>
      </c>
      <c r="BF126" s="210" t="s">
        <v>24</v>
      </c>
      <c r="BG126" s="210" t="s">
        <v>24</v>
      </c>
      <c r="BH126" s="210" t="s">
        <v>24</v>
      </c>
      <c r="BI126" s="210" t="s">
        <v>105</v>
      </c>
      <c r="BJ126" s="210" t="s">
        <v>105</v>
      </c>
      <c r="BK126" s="213">
        <v>45621</v>
      </c>
      <c r="BL126" s="210" t="s">
        <v>105</v>
      </c>
      <c r="BM126" s="241" t="s">
        <v>220</v>
      </c>
      <c r="BN126" s="232"/>
      <c r="BO126" s="232"/>
      <c r="BP126" s="232"/>
      <c r="BQ126" s="232"/>
      <c r="BR126" s="232"/>
      <c r="BS126" s="232"/>
      <c r="BT126" s="232"/>
      <c r="BU126" s="232"/>
      <c r="BV126" s="232"/>
      <c r="BW126" s="232"/>
      <c r="BX126" s="232"/>
      <c r="BY126" s="232"/>
    </row>
    <row r="127" spans="1:162" ht="35.25" hidden="1" customHeight="1" x14ac:dyDescent="0.25">
      <c r="A127" s="210">
        <v>114</v>
      </c>
      <c r="B127" s="210" t="s">
        <v>99</v>
      </c>
      <c r="C127" s="210">
        <v>3</v>
      </c>
      <c r="D127" s="210">
        <v>0</v>
      </c>
      <c r="E127" s="210">
        <v>0</v>
      </c>
      <c r="F127" s="219" t="s">
        <v>715</v>
      </c>
      <c r="G127" s="220" t="s">
        <v>1</v>
      </c>
      <c r="H127" s="220" t="s">
        <v>2</v>
      </c>
      <c r="I127" s="210" t="s">
        <v>12</v>
      </c>
      <c r="J127" s="323" t="s">
        <v>716</v>
      </c>
      <c r="K127" s="219" t="s">
        <v>717</v>
      </c>
      <c r="L127" s="219" t="s">
        <v>718</v>
      </c>
      <c r="M127" s="350"/>
      <c r="N127" s="232"/>
      <c r="O127" s="213">
        <v>45019</v>
      </c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2"/>
      <c r="AB127" s="219" t="s">
        <v>716</v>
      </c>
      <c r="AC127" s="219" t="s">
        <v>717</v>
      </c>
      <c r="AD127" s="219" t="s">
        <v>718</v>
      </c>
      <c r="AE127" s="220" t="s">
        <v>12</v>
      </c>
      <c r="AF127" s="232"/>
      <c r="AG127" s="230" t="s">
        <v>139</v>
      </c>
      <c r="AH127" s="230" t="s">
        <v>139</v>
      </c>
      <c r="AI127" s="232"/>
      <c r="AJ127" s="230" t="s">
        <v>104</v>
      </c>
      <c r="AK127" s="232"/>
      <c r="AL127" s="232"/>
      <c r="AM127" s="232"/>
      <c r="AN127" s="232"/>
      <c r="AO127" s="232"/>
      <c r="AP127" s="234"/>
      <c r="AQ127" s="232"/>
      <c r="AR127" s="232"/>
      <c r="AS127" s="232"/>
      <c r="AT127" s="232"/>
      <c r="AU127" s="232"/>
      <c r="AV127" s="232"/>
      <c r="AW127" s="232"/>
      <c r="AX127" s="233"/>
      <c r="AY127" s="232"/>
      <c r="AZ127" s="233"/>
      <c r="BA127" s="232"/>
      <c r="BB127" s="232"/>
      <c r="BC127" s="218" t="str">
        <f t="shared" si="12"/>
        <v/>
      </c>
      <c r="BD127" s="210" t="str">
        <f t="shared" si="13"/>
        <v>INDENIZAÇÃO</v>
      </c>
      <c r="BE127" s="210" t="str">
        <f t="shared" si="9"/>
        <v>NÃO</v>
      </c>
      <c r="BF127" s="210"/>
      <c r="BG127" s="210"/>
      <c r="BH127" s="210"/>
      <c r="BI127" s="210"/>
      <c r="BJ127" s="210"/>
      <c r="BK127" s="210"/>
      <c r="BL127" s="210"/>
      <c r="BM127" s="210"/>
      <c r="BN127" s="232"/>
      <c r="BO127" s="232"/>
      <c r="BP127" s="232"/>
      <c r="BQ127" s="232"/>
      <c r="BR127" s="232"/>
      <c r="BS127" s="232"/>
      <c r="BT127" s="232"/>
      <c r="BU127" s="232"/>
      <c r="BV127" s="232"/>
      <c r="BW127" s="232"/>
      <c r="BX127" s="232"/>
      <c r="BY127" s="232"/>
    </row>
    <row r="128" spans="1:162" ht="35.25" customHeight="1" x14ac:dyDescent="0.25">
      <c r="A128" s="210">
        <v>115</v>
      </c>
      <c r="B128" s="210" t="s">
        <v>99</v>
      </c>
      <c r="C128" s="210">
        <v>3</v>
      </c>
      <c r="D128" s="210">
        <v>0</v>
      </c>
      <c r="E128" s="210">
        <v>0</v>
      </c>
      <c r="F128" s="219" t="s">
        <v>719</v>
      </c>
      <c r="G128" s="210" t="s">
        <v>1</v>
      </c>
      <c r="H128" s="210" t="s">
        <v>2</v>
      </c>
      <c r="I128" s="210" t="s">
        <v>12</v>
      </c>
      <c r="J128" s="323" t="s">
        <v>720</v>
      </c>
      <c r="K128" s="322" t="s">
        <v>721</v>
      </c>
      <c r="L128" s="281" t="s">
        <v>722</v>
      </c>
      <c r="M128" s="350" t="s">
        <v>4</v>
      </c>
      <c r="N128" s="210" t="s">
        <v>5</v>
      </c>
      <c r="O128" s="213">
        <v>45770</v>
      </c>
      <c r="P128" s="233" t="s">
        <v>24</v>
      </c>
      <c r="Q128" s="233" t="s">
        <v>24</v>
      </c>
      <c r="R128" s="233" t="s">
        <v>24</v>
      </c>
      <c r="S128" s="233" t="s">
        <v>24</v>
      </c>
      <c r="T128" s="233" t="s">
        <v>24</v>
      </c>
      <c r="U128" s="233" t="s">
        <v>24</v>
      </c>
      <c r="V128" s="233" t="s">
        <v>24</v>
      </c>
      <c r="W128" s="233" t="s">
        <v>24</v>
      </c>
      <c r="X128" s="233" t="s">
        <v>24</v>
      </c>
      <c r="Y128" s="233" t="s">
        <v>24</v>
      </c>
      <c r="Z128" s="233" t="s">
        <v>24</v>
      </c>
      <c r="AA128" s="232"/>
      <c r="AB128" s="348" t="s">
        <v>720</v>
      </c>
      <c r="AC128" s="348" t="s">
        <v>721</v>
      </c>
      <c r="AD128" s="348" t="s">
        <v>722</v>
      </c>
      <c r="AE128" s="210" t="s">
        <v>12</v>
      </c>
      <c r="AF128" s="232" t="s">
        <v>4</v>
      </c>
      <c r="AG128" s="230">
        <v>9056.0400000000009</v>
      </c>
      <c r="AH128" s="353">
        <f>AG128+30000</f>
        <v>39056.04</v>
      </c>
      <c r="AI128" s="210" t="s">
        <v>6</v>
      </c>
      <c r="AJ128" s="230" t="s">
        <v>104</v>
      </c>
      <c r="AK128" s="355">
        <v>127849314</v>
      </c>
      <c r="AL128" s="210" t="s">
        <v>105</v>
      </c>
      <c r="AM128" s="210" t="s">
        <v>105</v>
      </c>
      <c r="AN128" s="232" t="s">
        <v>106</v>
      </c>
      <c r="AO128" s="232"/>
      <c r="AP128" s="234" t="s">
        <v>723</v>
      </c>
      <c r="AQ128" s="228" t="s">
        <v>105</v>
      </c>
      <c r="AR128" s="228" t="s">
        <v>105</v>
      </c>
      <c r="AS128" s="228" t="s">
        <v>105</v>
      </c>
      <c r="AT128" s="228" t="s">
        <v>105</v>
      </c>
      <c r="AU128" s="213">
        <v>45841</v>
      </c>
      <c r="AV128" s="228" t="s">
        <v>105</v>
      </c>
      <c r="AW128" s="228" t="s">
        <v>105</v>
      </c>
      <c r="AX128" s="213">
        <v>45852</v>
      </c>
      <c r="AY128" s="326">
        <v>45852</v>
      </c>
      <c r="AZ128" s="236" t="s">
        <v>220</v>
      </c>
      <c r="BA128" s="235" t="s">
        <v>502</v>
      </c>
      <c r="BB128" s="210" t="s">
        <v>105</v>
      </c>
      <c r="BC128" s="218">
        <f t="shared" si="12"/>
        <v>82</v>
      </c>
      <c r="BD128" s="210" t="str">
        <f t="shared" si="13"/>
        <v>INDENIZAÇÃO</v>
      </c>
      <c r="BE128" s="210" t="str">
        <f t="shared" si="9"/>
        <v>NÃO</v>
      </c>
      <c r="BF128" s="210" t="s">
        <v>24</v>
      </c>
      <c r="BG128" s="210" t="s">
        <v>24</v>
      </c>
      <c r="BH128" s="210" t="s">
        <v>24</v>
      </c>
      <c r="BI128" s="228" t="s">
        <v>105</v>
      </c>
      <c r="BJ128" s="228" t="s">
        <v>105</v>
      </c>
      <c r="BK128" s="213">
        <v>45867</v>
      </c>
      <c r="BL128" s="228" t="s">
        <v>105</v>
      </c>
      <c r="BM128" s="241" t="s">
        <v>220</v>
      </c>
      <c r="BN128" s="232"/>
      <c r="BO128" s="232"/>
      <c r="BP128" s="232"/>
      <c r="BQ128" s="232"/>
      <c r="BR128" s="232"/>
      <c r="BS128" s="232"/>
      <c r="BT128" s="232"/>
      <c r="BU128" s="232"/>
      <c r="BV128" s="232"/>
      <c r="BW128" s="232"/>
      <c r="BX128" s="232"/>
      <c r="BY128" s="232"/>
    </row>
    <row r="129" spans="1:162" ht="35.25" customHeight="1" x14ac:dyDescent="0.25">
      <c r="A129" s="328">
        <v>116</v>
      </c>
      <c r="B129" s="328" t="s">
        <v>99</v>
      </c>
      <c r="C129" s="328">
        <v>3</v>
      </c>
      <c r="D129" s="328">
        <v>0</v>
      </c>
      <c r="E129" s="328">
        <v>0</v>
      </c>
      <c r="F129" s="329" t="s">
        <v>724</v>
      </c>
      <c r="G129" s="328" t="s">
        <v>1</v>
      </c>
      <c r="H129" s="328" t="s">
        <v>2</v>
      </c>
      <c r="I129" s="328" t="s">
        <v>12</v>
      </c>
      <c r="J129" s="347" t="s">
        <v>725</v>
      </c>
      <c r="K129" s="330" t="s">
        <v>726</v>
      </c>
      <c r="L129" s="330" t="s">
        <v>727</v>
      </c>
      <c r="M129" s="351" t="s">
        <v>4</v>
      </c>
      <c r="N129" s="328" t="s">
        <v>5</v>
      </c>
      <c r="O129" s="331">
        <v>45756</v>
      </c>
      <c r="P129" s="326" t="s">
        <v>24</v>
      </c>
      <c r="Q129" s="326" t="s">
        <v>24</v>
      </c>
      <c r="R129" s="326" t="s">
        <v>24</v>
      </c>
      <c r="S129" s="326" t="s">
        <v>24</v>
      </c>
      <c r="T129" s="326" t="s">
        <v>24</v>
      </c>
      <c r="U129" s="326" t="s">
        <v>24</v>
      </c>
      <c r="V129" s="326" t="s">
        <v>24</v>
      </c>
      <c r="W129" s="326" t="s">
        <v>24</v>
      </c>
      <c r="X129" s="326" t="s">
        <v>24</v>
      </c>
      <c r="Y129" s="326" t="s">
        <v>24</v>
      </c>
      <c r="Z129" s="326" t="s">
        <v>24</v>
      </c>
      <c r="AA129" s="327"/>
      <c r="AB129" s="352" t="s">
        <v>725</v>
      </c>
      <c r="AC129" s="352" t="s">
        <v>726</v>
      </c>
      <c r="AD129" s="352" t="s">
        <v>727</v>
      </c>
      <c r="AE129" s="328" t="s">
        <v>12</v>
      </c>
      <c r="AF129" s="327" t="s">
        <v>4</v>
      </c>
      <c r="AG129" s="332">
        <v>16947.34</v>
      </c>
      <c r="AH129" s="354">
        <f>AG129+30000</f>
        <v>46947.34</v>
      </c>
      <c r="AI129" s="328" t="s">
        <v>6</v>
      </c>
      <c r="AJ129" s="332" t="s">
        <v>104</v>
      </c>
      <c r="AK129" s="327">
        <v>124355646</v>
      </c>
      <c r="AL129" s="328" t="s">
        <v>105</v>
      </c>
      <c r="AM129" s="328" t="s">
        <v>105</v>
      </c>
      <c r="AN129" s="327" t="s">
        <v>106</v>
      </c>
      <c r="AO129" s="327"/>
      <c r="AP129" s="333" t="s">
        <v>728</v>
      </c>
      <c r="AQ129" s="328" t="s">
        <v>105</v>
      </c>
      <c r="AR129" s="328" t="s">
        <v>105</v>
      </c>
      <c r="AS129" s="328" t="s">
        <v>105</v>
      </c>
      <c r="AT129" s="328" t="s">
        <v>105</v>
      </c>
      <c r="AU129" s="331">
        <v>45810</v>
      </c>
      <c r="AV129" s="328" t="s">
        <v>105</v>
      </c>
      <c r="AW129" s="328" t="s">
        <v>105</v>
      </c>
      <c r="AX129" s="331">
        <v>45818</v>
      </c>
      <c r="AY129" s="326">
        <v>45818</v>
      </c>
      <c r="AZ129" s="326" t="s">
        <v>729</v>
      </c>
      <c r="BA129" s="327" t="s">
        <v>502</v>
      </c>
      <c r="BB129" s="328" t="s">
        <v>105</v>
      </c>
      <c r="BC129" s="334">
        <f t="shared" si="12"/>
        <v>62</v>
      </c>
      <c r="BD129" s="328" t="str">
        <f t="shared" si="13"/>
        <v>INDENIZAÇÃO</v>
      </c>
      <c r="BE129" s="328" t="str">
        <f t="shared" si="9"/>
        <v>NÃO</v>
      </c>
      <c r="BF129" s="328" t="s">
        <v>24</v>
      </c>
      <c r="BG129" s="328" t="s">
        <v>24</v>
      </c>
      <c r="BH129" s="328" t="s">
        <v>24</v>
      </c>
      <c r="BI129" s="328" t="s">
        <v>105</v>
      </c>
      <c r="BJ129" s="328" t="s">
        <v>105</v>
      </c>
      <c r="BK129" s="331">
        <v>45859</v>
      </c>
      <c r="BL129" s="328" t="s">
        <v>105</v>
      </c>
      <c r="BM129" s="328" t="s">
        <v>220</v>
      </c>
      <c r="BN129" s="232"/>
      <c r="BO129" s="232"/>
      <c r="BP129" s="232"/>
      <c r="BQ129" s="232"/>
      <c r="BR129" s="232"/>
      <c r="BS129" s="232"/>
      <c r="BT129" s="232"/>
      <c r="BU129" s="232"/>
      <c r="BV129" s="232"/>
      <c r="BW129" s="232"/>
      <c r="BX129" s="232"/>
      <c r="BY129" s="232"/>
    </row>
    <row r="130" spans="1:162" ht="35.25" customHeight="1" x14ac:dyDescent="0.25">
      <c r="A130" s="210">
        <v>117</v>
      </c>
      <c r="B130" s="210" t="s">
        <v>99</v>
      </c>
      <c r="C130" s="210">
        <v>3</v>
      </c>
      <c r="D130" s="210">
        <v>0</v>
      </c>
      <c r="E130" s="210">
        <v>0</v>
      </c>
      <c r="F130" s="219" t="s">
        <v>730</v>
      </c>
      <c r="G130" s="210" t="s">
        <v>1</v>
      </c>
      <c r="H130" s="210" t="s">
        <v>2</v>
      </c>
      <c r="I130" s="210" t="s">
        <v>12</v>
      </c>
      <c r="J130" s="323" t="s">
        <v>731</v>
      </c>
      <c r="K130" s="219" t="s">
        <v>732</v>
      </c>
      <c r="L130" s="219" t="s">
        <v>733</v>
      </c>
      <c r="M130" s="350" t="s">
        <v>4</v>
      </c>
      <c r="N130" s="232" t="s">
        <v>5</v>
      </c>
      <c r="O130" s="213">
        <v>45474</v>
      </c>
      <c r="P130" s="233" t="s">
        <v>24</v>
      </c>
      <c r="Q130" s="233" t="s">
        <v>24</v>
      </c>
      <c r="R130" s="233" t="s">
        <v>24</v>
      </c>
      <c r="S130" s="233" t="s">
        <v>24</v>
      </c>
      <c r="T130" s="233" t="s">
        <v>24</v>
      </c>
      <c r="U130" s="233" t="s">
        <v>24</v>
      </c>
      <c r="V130" s="233" t="s">
        <v>24</v>
      </c>
      <c r="W130" s="233" t="s">
        <v>24</v>
      </c>
      <c r="X130" s="233" t="s">
        <v>24</v>
      </c>
      <c r="Y130" s="233" t="s">
        <v>24</v>
      </c>
      <c r="Z130" s="233" t="s">
        <v>24</v>
      </c>
      <c r="AA130" s="232"/>
      <c r="AB130" s="219" t="s">
        <v>731</v>
      </c>
      <c r="AC130" s="219" t="s">
        <v>732</v>
      </c>
      <c r="AD130" s="219" t="s">
        <v>733</v>
      </c>
      <c r="AE130" s="220" t="s">
        <v>12</v>
      </c>
      <c r="AF130" s="232" t="s">
        <v>4</v>
      </c>
      <c r="AG130" s="230">
        <v>934</v>
      </c>
      <c r="AH130" s="230">
        <f>AG130+30000</f>
        <v>30934</v>
      </c>
      <c r="AI130" s="232" t="s">
        <v>6</v>
      </c>
      <c r="AJ130" s="230" t="s">
        <v>104</v>
      </c>
      <c r="AK130" s="232" t="s">
        <v>105</v>
      </c>
      <c r="AL130" s="210" t="s">
        <v>105</v>
      </c>
      <c r="AM130" s="210" t="s">
        <v>105</v>
      </c>
      <c r="AN130" s="210" t="s">
        <v>106</v>
      </c>
      <c r="AO130" s="232"/>
      <c r="AP130" s="234" t="s">
        <v>734</v>
      </c>
      <c r="AQ130" s="228" t="s">
        <v>105</v>
      </c>
      <c r="AR130" s="210" t="s">
        <v>105</v>
      </c>
      <c r="AS130" s="210" t="s">
        <v>105</v>
      </c>
      <c r="AT130" s="210" t="s">
        <v>105</v>
      </c>
      <c r="AU130" s="233">
        <v>45558</v>
      </c>
      <c r="AV130" s="210" t="s">
        <v>105</v>
      </c>
      <c r="AW130" s="210" t="s">
        <v>105</v>
      </c>
      <c r="AX130" s="233">
        <v>45561</v>
      </c>
      <c r="AY130" s="221">
        <v>45561</v>
      </c>
      <c r="AZ130" s="221" t="s">
        <v>220</v>
      </c>
      <c r="BA130" s="232" t="s">
        <v>30</v>
      </c>
      <c r="BB130" s="217" t="s">
        <v>105</v>
      </c>
      <c r="BC130" s="218">
        <f t="shared" si="12"/>
        <v>87</v>
      </c>
      <c r="BD130" s="210" t="str">
        <f t="shared" si="13"/>
        <v>INDENIZAÇÃO</v>
      </c>
      <c r="BE130" s="210" t="str">
        <f t="shared" si="9"/>
        <v>NÃO</v>
      </c>
      <c r="BF130" s="210" t="s">
        <v>24</v>
      </c>
      <c r="BG130" s="210" t="s">
        <v>24</v>
      </c>
      <c r="BH130" s="210" t="s">
        <v>24</v>
      </c>
      <c r="BI130" s="210" t="s">
        <v>105</v>
      </c>
      <c r="BJ130" s="210" t="s">
        <v>105</v>
      </c>
      <c r="BK130" s="213">
        <v>45621</v>
      </c>
      <c r="BL130" s="210" t="s">
        <v>105</v>
      </c>
      <c r="BM130" s="241" t="s">
        <v>220</v>
      </c>
      <c r="BN130" s="210"/>
      <c r="BO130" s="210"/>
      <c r="BP130" s="232"/>
      <c r="BQ130" s="232"/>
      <c r="BR130" s="232"/>
      <c r="BS130" s="232"/>
      <c r="BT130" s="232"/>
      <c r="BU130" s="232"/>
      <c r="BV130" s="232"/>
      <c r="BW130" s="232"/>
      <c r="BX130" s="232"/>
      <c r="BY130" s="232"/>
    </row>
    <row r="131" spans="1:162" ht="35.25" customHeight="1" x14ac:dyDescent="0.25">
      <c r="A131" s="210">
        <v>118</v>
      </c>
      <c r="B131" s="210" t="s">
        <v>99</v>
      </c>
      <c r="C131" s="210">
        <v>3</v>
      </c>
      <c r="D131" s="210">
        <v>0</v>
      </c>
      <c r="E131" s="210">
        <v>0</v>
      </c>
      <c r="F131" s="219" t="s">
        <v>735</v>
      </c>
      <c r="G131" s="220" t="s">
        <v>1</v>
      </c>
      <c r="H131" s="220" t="s">
        <v>2</v>
      </c>
      <c r="I131" s="210" t="s">
        <v>121</v>
      </c>
      <c r="J131" s="323" t="s">
        <v>736</v>
      </c>
      <c r="K131" s="219" t="s">
        <v>737</v>
      </c>
      <c r="L131" s="219" t="s">
        <v>738</v>
      </c>
      <c r="M131" s="350" t="s">
        <v>4</v>
      </c>
      <c r="N131" s="232" t="s">
        <v>14</v>
      </c>
      <c r="O131" s="213">
        <v>45467</v>
      </c>
      <c r="P131" s="251" t="s">
        <v>105</v>
      </c>
      <c r="Q131" s="229" t="s">
        <v>114</v>
      </c>
      <c r="R131" s="251" t="s">
        <v>105</v>
      </c>
      <c r="S131" s="251" t="s">
        <v>105</v>
      </c>
      <c r="T131" s="251" t="s">
        <v>501</v>
      </c>
      <c r="U131" s="251">
        <v>45491</v>
      </c>
      <c r="V131" s="251" t="s">
        <v>105</v>
      </c>
      <c r="W131" s="251">
        <v>45505</v>
      </c>
      <c r="X131" s="251">
        <v>45524</v>
      </c>
      <c r="Y131" s="251">
        <v>45525</v>
      </c>
      <c r="Z131" s="251"/>
      <c r="AA131" s="232"/>
      <c r="AB131" s="219" t="s">
        <v>739</v>
      </c>
      <c r="AC131" s="219" t="s">
        <v>740</v>
      </c>
      <c r="AD131" s="219" t="s">
        <v>741</v>
      </c>
      <c r="AE131" s="210" t="s">
        <v>3</v>
      </c>
      <c r="AF131" s="232" t="s">
        <v>4</v>
      </c>
      <c r="AG131" s="230">
        <v>70000</v>
      </c>
      <c r="AH131" s="230">
        <v>70000</v>
      </c>
      <c r="AI131" s="232" t="s">
        <v>6</v>
      </c>
      <c r="AJ131" s="230" t="s">
        <v>104</v>
      </c>
      <c r="AK131" s="232" t="s">
        <v>105</v>
      </c>
      <c r="AL131" s="210" t="s">
        <v>105</v>
      </c>
      <c r="AM131" s="210" t="s">
        <v>105</v>
      </c>
      <c r="AN131" s="210" t="s">
        <v>106</v>
      </c>
      <c r="AO131" s="232"/>
      <c r="AP131" s="234" t="s">
        <v>742</v>
      </c>
      <c r="AQ131" s="228" t="s">
        <v>105</v>
      </c>
      <c r="AR131" s="210" t="s">
        <v>105</v>
      </c>
      <c r="AS131" s="210" t="s">
        <v>105</v>
      </c>
      <c r="AT131" s="210" t="s">
        <v>105</v>
      </c>
      <c r="AU131" s="213">
        <v>45537</v>
      </c>
      <c r="AV131" s="210" t="s">
        <v>105</v>
      </c>
      <c r="AW131" s="210" t="s">
        <v>105</v>
      </c>
      <c r="AX131" s="213">
        <v>45541</v>
      </c>
      <c r="AY131" s="221">
        <v>45541</v>
      </c>
      <c r="AZ131" s="221" t="s">
        <v>220</v>
      </c>
      <c r="BA131" s="241" t="s">
        <v>502</v>
      </c>
      <c r="BB131" s="217" t="s">
        <v>105</v>
      </c>
      <c r="BC131" s="218">
        <f t="shared" si="12"/>
        <v>74</v>
      </c>
      <c r="BD131" s="210" t="str">
        <f t="shared" si="13"/>
        <v>INDENIZAÇÃO</v>
      </c>
      <c r="BE131" s="210" t="str">
        <f t="shared" si="9"/>
        <v>NÃO</v>
      </c>
      <c r="BF131" s="210" t="s">
        <v>24</v>
      </c>
      <c r="BG131" s="210" t="s">
        <v>24</v>
      </c>
      <c r="BH131" s="210" t="s">
        <v>24</v>
      </c>
      <c r="BI131" s="210" t="s">
        <v>105</v>
      </c>
      <c r="BJ131" s="210" t="s">
        <v>105</v>
      </c>
      <c r="BK131" s="213">
        <v>45621</v>
      </c>
      <c r="BL131" s="210" t="s">
        <v>105</v>
      </c>
      <c r="BM131" s="241" t="s">
        <v>220</v>
      </c>
      <c r="BN131" s="232"/>
      <c r="BO131" s="232"/>
      <c r="BP131" s="232"/>
      <c r="BQ131" s="232"/>
      <c r="BR131" s="232"/>
      <c r="BS131" s="232"/>
      <c r="BT131" s="232"/>
      <c r="BU131" s="232"/>
      <c r="BV131" s="232"/>
      <c r="BW131" s="232"/>
      <c r="BX131" s="232"/>
      <c r="BY131" s="232"/>
    </row>
    <row r="132" spans="1:162" ht="35.25" customHeight="1" x14ac:dyDescent="0.25">
      <c r="A132" s="210">
        <v>119</v>
      </c>
      <c r="B132" s="210" t="s">
        <v>99</v>
      </c>
      <c r="C132" s="210">
        <v>3</v>
      </c>
      <c r="D132" s="210">
        <v>0</v>
      </c>
      <c r="E132" s="210">
        <v>0</v>
      </c>
      <c r="F132" s="219" t="s">
        <v>743</v>
      </c>
      <c r="G132" s="220" t="s">
        <v>1</v>
      </c>
      <c r="H132" s="220" t="s">
        <v>2</v>
      </c>
      <c r="I132" s="210" t="s">
        <v>12</v>
      </c>
      <c r="J132" s="219" t="s">
        <v>744</v>
      </c>
      <c r="K132" s="349" t="s">
        <v>745</v>
      </c>
      <c r="L132" s="349" t="s">
        <v>746</v>
      </c>
      <c r="M132" s="232" t="s">
        <v>4</v>
      </c>
      <c r="N132" s="232" t="s">
        <v>5</v>
      </c>
      <c r="O132" s="213">
        <v>45433</v>
      </c>
      <c r="P132" s="233" t="s">
        <v>24</v>
      </c>
      <c r="Q132" s="233" t="s">
        <v>24</v>
      </c>
      <c r="R132" s="233" t="s">
        <v>24</v>
      </c>
      <c r="S132" s="233" t="s">
        <v>24</v>
      </c>
      <c r="T132" s="233" t="s">
        <v>24</v>
      </c>
      <c r="U132" s="233" t="s">
        <v>24</v>
      </c>
      <c r="V132" s="233" t="s">
        <v>24</v>
      </c>
      <c r="W132" s="233" t="s">
        <v>24</v>
      </c>
      <c r="X132" s="233" t="s">
        <v>24</v>
      </c>
      <c r="Y132" s="233" t="s">
        <v>24</v>
      </c>
      <c r="Z132" s="233" t="s">
        <v>24</v>
      </c>
      <c r="AA132" s="232"/>
      <c r="AB132" s="219" t="s">
        <v>744</v>
      </c>
      <c r="AC132" s="219" t="s">
        <v>745</v>
      </c>
      <c r="AD132" s="219" t="s">
        <v>746</v>
      </c>
      <c r="AE132" s="220" t="s">
        <v>12</v>
      </c>
      <c r="AF132" s="232" t="s">
        <v>4</v>
      </c>
      <c r="AG132" s="230">
        <v>67800</v>
      </c>
      <c r="AH132" s="230">
        <v>67800</v>
      </c>
      <c r="AI132" s="232" t="s">
        <v>6</v>
      </c>
      <c r="AJ132" s="230" t="s">
        <v>104</v>
      </c>
      <c r="AK132" s="232" t="s">
        <v>105</v>
      </c>
      <c r="AL132" s="232" t="s">
        <v>105</v>
      </c>
      <c r="AM132" s="232" t="s">
        <v>105</v>
      </c>
      <c r="AN132" s="232" t="s">
        <v>106</v>
      </c>
      <c r="AO132" s="232" t="s">
        <v>747</v>
      </c>
      <c r="AP132" s="234" t="s">
        <v>748</v>
      </c>
      <c r="AQ132" s="228" t="s">
        <v>105</v>
      </c>
      <c r="AR132" s="210" t="s">
        <v>105</v>
      </c>
      <c r="AS132" s="210" t="s">
        <v>105</v>
      </c>
      <c r="AT132" s="210" t="s">
        <v>105</v>
      </c>
      <c r="AU132" s="213">
        <v>45537</v>
      </c>
      <c r="AV132" s="210" t="s">
        <v>105</v>
      </c>
      <c r="AW132" s="210" t="s">
        <v>105</v>
      </c>
      <c r="AX132" s="213">
        <v>45544</v>
      </c>
      <c r="AY132" s="221">
        <v>45544</v>
      </c>
      <c r="AZ132" s="221" t="s">
        <v>220</v>
      </c>
      <c r="BA132" s="235" t="s">
        <v>502</v>
      </c>
      <c r="BB132" s="217" t="s">
        <v>105</v>
      </c>
      <c r="BC132" s="218">
        <f t="shared" si="12"/>
        <v>111</v>
      </c>
      <c r="BD132" s="210" t="str">
        <f t="shared" si="13"/>
        <v>INDENIZAÇÃO</v>
      </c>
      <c r="BE132" s="210" t="str">
        <f t="shared" si="9"/>
        <v>NÃO</v>
      </c>
      <c r="BF132" s="210" t="s">
        <v>24</v>
      </c>
      <c r="BG132" s="210" t="s">
        <v>24</v>
      </c>
      <c r="BH132" s="210" t="s">
        <v>24</v>
      </c>
      <c r="BI132" s="210" t="s">
        <v>105</v>
      </c>
      <c r="BJ132" s="210" t="s">
        <v>105</v>
      </c>
      <c r="BK132" s="213">
        <v>45621</v>
      </c>
      <c r="BL132" s="210" t="s">
        <v>105</v>
      </c>
      <c r="BM132" s="241" t="s">
        <v>220</v>
      </c>
      <c r="BN132" s="232"/>
      <c r="BO132" s="232"/>
      <c r="BP132" s="232"/>
      <c r="BQ132" s="232"/>
      <c r="BR132" s="232"/>
      <c r="BS132" s="232"/>
      <c r="BT132" s="232"/>
      <c r="BU132" s="232"/>
      <c r="BV132" s="232"/>
      <c r="BW132" s="232"/>
      <c r="BX132" s="232"/>
      <c r="BY132" s="232"/>
    </row>
    <row r="133" spans="1:162" ht="35.25" hidden="1" customHeight="1" x14ac:dyDescent="0.25">
      <c r="A133" s="210">
        <v>120</v>
      </c>
      <c r="B133" s="210" t="s">
        <v>99</v>
      </c>
      <c r="C133" s="210">
        <v>3</v>
      </c>
      <c r="D133" s="210">
        <v>0</v>
      </c>
      <c r="E133" s="210">
        <v>0</v>
      </c>
      <c r="F133" s="219" t="s">
        <v>749</v>
      </c>
      <c r="G133" s="220" t="s">
        <v>1</v>
      </c>
      <c r="H133" s="220" t="s">
        <v>2</v>
      </c>
      <c r="I133" s="210" t="s">
        <v>12</v>
      </c>
      <c r="J133" s="219" t="s">
        <v>750</v>
      </c>
      <c r="K133" s="219" t="s">
        <v>751</v>
      </c>
      <c r="L133" s="219" t="s">
        <v>752</v>
      </c>
      <c r="M133" s="232"/>
      <c r="N133" s="237" t="s">
        <v>753</v>
      </c>
      <c r="O133" s="213">
        <v>45019</v>
      </c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2"/>
      <c r="AB133" s="219" t="s">
        <v>750</v>
      </c>
      <c r="AC133" s="219" t="s">
        <v>751</v>
      </c>
      <c r="AD133" s="219" t="s">
        <v>752</v>
      </c>
      <c r="AE133" s="220" t="s">
        <v>12</v>
      </c>
      <c r="AF133" s="232"/>
      <c r="AG133" s="230" t="s">
        <v>139</v>
      </c>
      <c r="AH133" s="230" t="s">
        <v>139</v>
      </c>
      <c r="AI133" s="232"/>
      <c r="AJ133" s="230" t="s">
        <v>104</v>
      </c>
      <c r="AK133" s="232"/>
      <c r="AL133" s="232"/>
      <c r="AM133" s="232"/>
      <c r="AN133" s="232"/>
      <c r="AO133" s="232"/>
      <c r="AP133" s="234"/>
      <c r="AQ133" s="232"/>
      <c r="AR133" s="232"/>
      <c r="AS133" s="232"/>
      <c r="AT133" s="232"/>
      <c r="AU133" s="232"/>
      <c r="AV133" s="232"/>
      <c r="AW133" s="232"/>
      <c r="AX133" s="233"/>
      <c r="AY133" s="232"/>
      <c r="AZ133" s="233"/>
      <c r="BA133" s="232"/>
      <c r="BB133" s="232"/>
      <c r="BC133" s="218" t="str">
        <f t="shared" si="12"/>
        <v/>
      </c>
      <c r="BD133" s="210" t="str">
        <f t="shared" si="13"/>
        <v>INDENIZAÇÃO</v>
      </c>
      <c r="BE133" s="210" t="str">
        <f t="shared" si="9"/>
        <v>NÃO</v>
      </c>
      <c r="BF133" s="210"/>
      <c r="BG133" s="210"/>
      <c r="BH133" s="210"/>
      <c r="BI133" s="210"/>
      <c r="BJ133" s="210"/>
      <c r="BK133" s="210"/>
      <c r="BL133" s="210"/>
      <c r="BM133" s="210"/>
      <c r="BN133" s="232"/>
      <c r="BO133" s="232"/>
      <c r="BP133" s="232"/>
      <c r="BQ133" s="232"/>
      <c r="BR133" s="232"/>
      <c r="BS133" s="232"/>
      <c r="BT133" s="232"/>
      <c r="BU133" s="232"/>
      <c r="BV133" s="232"/>
      <c r="BW133" s="232"/>
      <c r="BX133" s="232"/>
      <c r="BY133" s="232"/>
    </row>
    <row r="134" spans="1:162" ht="35.25" customHeight="1" x14ac:dyDescent="0.25">
      <c r="A134" s="210">
        <v>121</v>
      </c>
      <c r="B134" s="210" t="s">
        <v>99</v>
      </c>
      <c r="C134" s="210">
        <v>3</v>
      </c>
      <c r="D134" s="210">
        <v>0</v>
      </c>
      <c r="E134" s="210">
        <v>0</v>
      </c>
      <c r="F134" s="219" t="s">
        <v>754</v>
      </c>
      <c r="G134" s="220" t="s">
        <v>1</v>
      </c>
      <c r="H134" s="210" t="s">
        <v>2</v>
      </c>
      <c r="I134" s="210" t="s">
        <v>12</v>
      </c>
      <c r="J134" s="348" t="s">
        <v>755</v>
      </c>
      <c r="K134" s="348" t="s">
        <v>756</v>
      </c>
      <c r="L134" s="348" t="s">
        <v>757</v>
      </c>
      <c r="M134" s="232" t="s">
        <v>4</v>
      </c>
      <c r="N134" s="232" t="s">
        <v>5</v>
      </c>
      <c r="O134" s="213">
        <v>45470</v>
      </c>
      <c r="P134" s="233" t="s">
        <v>24</v>
      </c>
      <c r="Q134" s="233" t="s">
        <v>24</v>
      </c>
      <c r="R134" s="233" t="s">
        <v>24</v>
      </c>
      <c r="S134" s="233" t="s">
        <v>24</v>
      </c>
      <c r="T134" s="233" t="s">
        <v>24</v>
      </c>
      <c r="U134" s="233" t="s">
        <v>24</v>
      </c>
      <c r="V134" s="233" t="s">
        <v>24</v>
      </c>
      <c r="W134" s="233" t="s">
        <v>24</v>
      </c>
      <c r="X134" s="233" t="s">
        <v>24</v>
      </c>
      <c r="Y134" s="233" t="s">
        <v>24</v>
      </c>
      <c r="Z134" s="233" t="s">
        <v>24</v>
      </c>
      <c r="AA134" s="232"/>
      <c r="AB134" s="219" t="s">
        <v>755</v>
      </c>
      <c r="AC134" s="219" t="s">
        <v>756</v>
      </c>
      <c r="AD134" s="219" t="s">
        <v>757</v>
      </c>
      <c r="AE134" s="210" t="s">
        <v>12</v>
      </c>
      <c r="AF134" s="232" t="s">
        <v>4</v>
      </c>
      <c r="AG134" s="230">
        <v>19300</v>
      </c>
      <c r="AH134" s="230">
        <v>49300</v>
      </c>
      <c r="AI134" s="232" t="s">
        <v>6</v>
      </c>
      <c r="AJ134" s="230" t="s">
        <v>104</v>
      </c>
      <c r="AK134" s="232" t="s">
        <v>105</v>
      </c>
      <c r="AL134" s="210" t="s">
        <v>105</v>
      </c>
      <c r="AM134" s="210" t="s">
        <v>105</v>
      </c>
      <c r="AN134" s="210" t="s">
        <v>106</v>
      </c>
      <c r="AO134" s="232"/>
      <c r="AP134" s="234" t="s">
        <v>758</v>
      </c>
      <c r="AQ134" s="228" t="s">
        <v>105</v>
      </c>
      <c r="AR134" s="210" t="s">
        <v>105</v>
      </c>
      <c r="AS134" s="210" t="s">
        <v>105</v>
      </c>
      <c r="AT134" s="210" t="s">
        <v>105</v>
      </c>
      <c r="AU134" s="213">
        <v>45537</v>
      </c>
      <c r="AV134" s="210" t="s">
        <v>105</v>
      </c>
      <c r="AW134" s="210" t="s">
        <v>105</v>
      </c>
      <c r="AX134" s="213">
        <v>45544</v>
      </c>
      <c r="AY134" s="221">
        <v>45544</v>
      </c>
      <c r="AZ134" s="221" t="s">
        <v>220</v>
      </c>
      <c r="BA134" s="235" t="s">
        <v>502</v>
      </c>
      <c r="BB134" s="217" t="s">
        <v>105</v>
      </c>
      <c r="BC134" s="218">
        <f t="shared" si="12"/>
        <v>74</v>
      </c>
      <c r="BD134" s="210" t="str">
        <f t="shared" si="13"/>
        <v>INDENIZAÇÃO</v>
      </c>
      <c r="BE134" s="210" t="str">
        <f t="shared" si="9"/>
        <v>NÃO</v>
      </c>
      <c r="BF134" s="210" t="s">
        <v>24</v>
      </c>
      <c r="BG134" s="210" t="s">
        <v>24</v>
      </c>
      <c r="BH134" s="210" t="s">
        <v>24</v>
      </c>
      <c r="BI134" s="210" t="s">
        <v>105</v>
      </c>
      <c r="BJ134" s="210" t="s">
        <v>105</v>
      </c>
      <c r="BK134" s="213">
        <v>45621</v>
      </c>
      <c r="BL134" s="210" t="s">
        <v>105</v>
      </c>
      <c r="BM134" s="241" t="s">
        <v>220</v>
      </c>
      <c r="BN134" s="232"/>
      <c r="BO134" s="232"/>
      <c r="BP134" s="232"/>
      <c r="BQ134" s="232"/>
      <c r="BR134" s="232"/>
      <c r="BS134" s="232"/>
      <c r="BT134" s="232"/>
      <c r="BU134" s="232"/>
      <c r="BV134" s="232"/>
      <c r="BW134" s="232"/>
      <c r="BX134" s="232"/>
      <c r="BY134" s="232"/>
    </row>
    <row r="135" spans="1:162" ht="35.25" customHeight="1" x14ac:dyDescent="0.25">
      <c r="A135" s="210">
        <v>122</v>
      </c>
      <c r="B135" s="210" t="s">
        <v>99</v>
      </c>
      <c r="C135" s="210">
        <v>3</v>
      </c>
      <c r="D135" s="210">
        <v>0</v>
      </c>
      <c r="E135" s="210">
        <v>0</v>
      </c>
      <c r="F135" s="219" t="s">
        <v>759</v>
      </c>
      <c r="G135" s="210" t="s">
        <v>10</v>
      </c>
      <c r="H135" s="210" t="s">
        <v>2</v>
      </c>
      <c r="I135" s="210" t="s">
        <v>12</v>
      </c>
      <c r="J135" s="219" t="s">
        <v>760</v>
      </c>
      <c r="K135" s="219" t="s">
        <v>761</v>
      </c>
      <c r="L135" s="219" t="s">
        <v>762</v>
      </c>
      <c r="M135" s="232" t="s">
        <v>4</v>
      </c>
      <c r="N135" s="232" t="s">
        <v>5</v>
      </c>
      <c r="O135" s="213">
        <v>45470</v>
      </c>
      <c r="P135" s="233" t="s">
        <v>24</v>
      </c>
      <c r="Q135" s="233" t="s">
        <v>24</v>
      </c>
      <c r="R135" s="233" t="s">
        <v>24</v>
      </c>
      <c r="S135" s="233" t="s">
        <v>24</v>
      </c>
      <c r="T135" s="233" t="s">
        <v>24</v>
      </c>
      <c r="U135" s="233" t="s">
        <v>24</v>
      </c>
      <c r="V135" s="233" t="s">
        <v>24</v>
      </c>
      <c r="W135" s="233" t="s">
        <v>24</v>
      </c>
      <c r="X135" s="233" t="s">
        <v>24</v>
      </c>
      <c r="Y135" s="233" t="s">
        <v>24</v>
      </c>
      <c r="Z135" s="233" t="s">
        <v>24</v>
      </c>
      <c r="AA135" s="232"/>
      <c r="AB135" s="219" t="s">
        <v>760</v>
      </c>
      <c r="AC135" s="219" t="s">
        <v>761</v>
      </c>
      <c r="AD135" s="219" t="s">
        <v>762</v>
      </c>
      <c r="AE135" s="210" t="s">
        <v>12</v>
      </c>
      <c r="AF135" s="232" t="s">
        <v>4</v>
      </c>
      <c r="AG135" s="230">
        <v>26500</v>
      </c>
      <c r="AH135" s="230">
        <f>AG135+30000</f>
        <v>56500</v>
      </c>
      <c r="AI135" s="232" t="s">
        <v>6</v>
      </c>
      <c r="AJ135" s="230" t="s">
        <v>104</v>
      </c>
      <c r="AK135" s="232" t="s">
        <v>105</v>
      </c>
      <c r="AL135" s="210" t="s">
        <v>105</v>
      </c>
      <c r="AM135" s="210" t="s">
        <v>105</v>
      </c>
      <c r="AN135" s="210" t="s">
        <v>106</v>
      </c>
      <c r="AO135" s="356"/>
      <c r="AP135" s="234" t="s">
        <v>763</v>
      </c>
      <c r="AQ135" s="228" t="s">
        <v>105</v>
      </c>
      <c r="AR135" s="210" t="s">
        <v>105</v>
      </c>
      <c r="AS135" s="210" t="s">
        <v>105</v>
      </c>
      <c r="AT135" s="210" t="s">
        <v>105</v>
      </c>
      <c r="AU135" s="213">
        <v>45537</v>
      </c>
      <c r="AV135" s="210" t="s">
        <v>105</v>
      </c>
      <c r="AW135" s="210" t="s">
        <v>105</v>
      </c>
      <c r="AX135" s="213">
        <v>45574</v>
      </c>
      <c r="AY135" s="236">
        <v>45574</v>
      </c>
      <c r="AZ135" s="221" t="s">
        <v>220</v>
      </c>
      <c r="BA135" s="241" t="s">
        <v>502</v>
      </c>
      <c r="BB135" s="217" t="s">
        <v>105</v>
      </c>
      <c r="BC135" s="218">
        <f t="shared" si="12"/>
        <v>104</v>
      </c>
      <c r="BD135" s="210" t="str">
        <f t="shared" si="13"/>
        <v>INDENIZAÇÃO</v>
      </c>
      <c r="BE135" s="210" t="str">
        <f t="shared" si="9"/>
        <v>NÃO</v>
      </c>
      <c r="BF135" s="210" t="s">
        <v>24</v>
      </c>
      <c r="BG135" s="210" t="s">
        <v>24</v>
      </c>
      <c r="BH135" s="210" t="s">
        <v>24</v>
      </c>
      <c r="BI135" s="210" t="s">
        <v>105</v>
      </c>
      <c r="BJ135" s="210" t="s">
        <v>105</v>
      </c>
      <c r="BK135" s="213">
        <v>45621</v>
      </c>
      <c r="BL135" s="210" t="s">
        <v>105</v>
      </c>
      <c r="BM135" s="241" t="s">
        <v>220</v>
      </c>
      <c r="BN135" s="210"/>
      <c r="BO135" s="210"/>
      <c r="BP135" s="210"/>
      <c r="BQ135" s="210"/>
      <c r="BR135" s="210"/>
      <c r="BS135" s="210"/>
      <c r="BT135" s="210"/>
      <c r="BU135" s="210"/>
      <c r="BV135" s="210"/>
      <c r="BW135" s="210"/>
      <c r="BX135" s="210"/>
      <c r="BY135" s="210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4"/>
      <c r="CM135" s="194"/>
      <c r="CN135" s="194"/>
      <c r="CO135" s="194"/>
      <c r="CP135" s="194"/>
      <c r="CQ135" s="194"/>
      <c r="CR135" s="194"/>
      <c r="CS135" s="194"/>
      <c r="CT135" s="194"/>
      <c r="CU135" s="194"/>
      <c r="CV135" s="194"/>
      <c r="CW135" s="194"/>
      <c r="CX135" s="194"/>
      <c r="CY135" s="194"/>
      <c r="CZ135" s="194"/>
      <c r="DA135" s="194"/>
      <c r="DB135" s="194"/>
      <c r="DC135" s="194"/>
      <c r="DD135" s="194"/>
      <c r="DE135" s="194"/>
      <c r="DF135" s="194"/>
      <c r="DG135" s="194"/>
      <c r="DH135" s="194"/>
      <c r="DI135" s="194"/>
      <c r="DJ135" s="194"/>
      <c r="DK135" s="194"/>
      <c r="DL135" s="194"/>
      <c r="DM135" s="194"/>
      <c r="DN135" s="194"/>
      <c r="DO135" s="194"/>
      <c r="DP135" s="194"/>
      <c r="DQ135" s="194"/>
      <c r="DR135" s="194"/>
      <c r="DS135" s="194"/>
      <c r="DT135" s="194"/>
      <c r="DU135" s="194"/>
      <c r="DV135" s="194"/>
      <c r="DW135" s="194"/>
      <c r="DX135" s="194"/>
      <c r="DY135" s="194"/>
      <c r="DZ135" s="194"/>
      <c r="EA135" s="194"/>
      <c r="EB135" s="194"/>
      <c r="EC135" s="194"/>
      <c r="ED135" s="194"/>
      <c r="EE135" s="194"/>
      <c r="EF135" s="194"/>
      <c r="EG135" s="194"/>
      <c r="EH135" s="194"/>
      <c r="EI135" s="194"/>
      <c r="EJ135" s="194"/>
      <c r="EK135" s="194"/>
      <c r="EL135" s="194"/>
      <c r="EM135" s="194"/>
      <c r="EN135" s="194"/>
      <c r="EO135" s="194"/>
      <c r="EP135" s="194"/>
      <c r="EQ135" s="194"/>
      <c r="ER135" s="194"/>
      <c r="ES135" s="194"/>
      <c r="ET135" s="194"/>
      <c r="EU135" s="194"/>
      <c r="EV135" s="194"/>
      <c r="EW135" s="194"/>
      <c r="EX135" s="194"/>
      <c r="EY135" s="194"/>
      <c r="EZ135" s="194"/>
      <c r="FA135" s="194"/>
      <c r="FB135" s="194"/>
      <c r="FC135" s="194"/>
      <c r="FD135" s="194"/>
      <c r="FE135" s="194"/>
      <c r="FF135" s="194"/>
    </row>
    <row r="136" spans="1:162" ht="35.25" customHeight="1" x14ac:dyDescent="0.25">
      <c r="A136" s="210">
        <v>123</v>
      </c>
      <c r="B136" s="210" t="s">
        <v>99</v>
      </c>
      <c r="C136" s="210">
        <v>3</v>
      </c>
      <c r="D136" s="210">
        <v>0</v>
      </c>
      <c r="E136" s="210">
        <v>0</v>
      </c>
      <c r="F136" s="219" t="s">
        <v>764</v>
      </c>
      <c r="G136" s="220" t="s">
        <v>1</v>
      </c>
      <c r="H136" s="220" t="s">
        <v>2</v>
      </c>
      <c r="I136" s="210" t="s">
        <v>12</v>
      </c>
      <c r="J136" s="219" t="s">
        <v>765</v>
      </c>
      <c r="K136" s="219" t="s">
        <v>766</v>
      </c>
      <c r="L136" s="219" t="s">
        <v>767</v>
      </c>
      <c r="M136" s="232" t="s">
        <v>4</v>
      </c>
      <c r="N136" s="232" t="s">
        <v>5</v>
      </c>
      <c r="O136" s="213">
        <v>45474</v>
      </c>
      <c r="P136" s="233" t="s">
        <v>24</v>
      </c>
      <c r="Q136" s="233" t="s">
        <v>24</v>
      </c>
      <c r="R136" s="233" t="s">
        <v>24</v>
      </c>
      <c r="S136" s="233" t="s">
        <v>24</v>
      </c>
      <c r="T136" s="233" t="s">
        <v>24</v>
      </c>
      <c r="U136" s="233" t="s">
        <v>24</v>
      </c>
      <c r="V136" s="233" t="s">
        <v>24</v>
      </c>
      <c r="W136" s="233" t="s">
        <v>24</v>
      </c>
      <c r="X136" s="233" t="s">
        <v>24</v>
      </c>
      <c r="Y136" s="233" t="s">
        <v>24</v>
      </c>
      <c r="Z136" s="233" t="s">
        <v>24</v>
      </c>
      <c r="AA136" s="232"/>
      <c r="AB136" s="219" t="s">
        <v>765</v>
      </c>
      <c r="AC136" s="219" t="s">
        <v>766</v>
      </c>
      <c r="AD136" s="219" t="s">
        <v>767</v>
      </c>
      <c r="AE136" s="220" t="s">
        <v>12</v>
      </c>
      <c r="AF136" s="232" t="s">
        <v>4</v>
      </c>
      <c r="AG136" s="230">
        <v>14600</v>
      </c>
      <c r="AH136" s="230">
        <f>AG136+30000</f>
        <v>44600</v>
      </c>
      <c r="AI136" s="232" t="s">
        <v>6</v>
      </c>
      <c r="AJ136" s="230" t="s">
        <v>104</v>
      </c>
      <c r="AK136" s="232" t="s">
        <v>105</v>
      </c>
      <c r="AL136" s="210" t="s">
        <v>105</v>
      </c>
      <c r="AM136" s="210" t="s">
        <v>105</v>
      </c>
      <c r="AN136" s="210" t="s">
        <v>106</v>
      </c>
      <c r="AO136" s="232"/>
      <c r="AP136" s="234" t="s">
        <v>768</v>
      </c>
      <c r="AQ136" s="228" t="s">
        <v>105</v>
      </c>
      <c r="AR136" s="210" t="s">
        <v>105</v>
      </c>
      <c r="AS136" s="210" t="s">
        <v>105</v>
      </c>
      <c r="AT136" s="210" t="s">
        <v>105</v>
      </c>
      <c r="AU136" s="213">
        <v>45537</v>
      </c>
      <c r="AV136" s="210" t="s">
        <v>105</v>
      </c>
      <c r="AW136" s="210" t="s">
        <v>105</v>
      </c>
      <c r="AX136" s="213">
        <v>45545</v>
      </c>
      <c r="AY136" s="221">
        <v>45545</v>
      </c>
      <c r="AZ136" s="221" t="s">
        <v>220</v>
      </c>
      <c r="BA136" s="235" t="s">
        <v>502</v>
      </c>
      <c r="BB136" s="217" t="s">
        <v>105</v>
      </c>
      <c r="BC136" s="218">
        <f t="shared" si="12"/>
        <v>71</v>
      </c>
      <c r="BD136" s="210" t="str">
        <f t="shared" si="13"/>
        <v>INDENIZAÇÃO</v>
      </c>
      <c r="BE136" s="210" t="str">
        <f t="shared" si="9"/>
        <v>NÃO</v>
      </c>
      <c r="BF136" s="210" t="s">
        <v>24</v>
      </c>
      <c r="BG136" s="210" t="s">
        <v>24</v>
      </c>
      <c r="BH136" s="210" t="s">
        <v>24</v>
      </c>
      <c r="BI136" s="210" t="s">
        <v>105</v>
      </c>
      <c r="BJ136" s="210" t="s">
        <v>105</v>
      </c>
      <c r="BK136" s="213">
        <v>45621</v>
      </c>
      <c r="BL136" s="210" t="s">
        <v>105</v>
      </c>
      <c r="BM136" s="241" t="s">
        <v>220</v>
      </c>
      <c r="BN136" s="210"/>
      <c r="BO136" s="210"/>
      <c r="BP136" s="232"/>
      <c r="BQ136" s="232"/>
      <c r="BR136" s="232"/>
      <c r="BS136" s="232"/>
      <c r="BT136" s="232"/>
      <c r="BU136" s="232"/>
      <c r="BV136" s="232"/>
      <c r="BW136" s="232"/>
      <c r="BX136" s="232"/>
      <c r="BY136" s="232"/>
    </row>
    <row r="137" spans="1:162" ht="35.25" customHeight="1" x14ac:dyDescent="0.25">
      <c r="A137" s="210">
        <v>124</v>
      </c>
      <c r="B137" s="210" t="s">
        <v>99</v>
      </c>
      <c r="C137" s="210">
        <v>3</v>
      </c>
      <c r="D137" s="210">
        <v>0</v>
      </c>
      <c r="E137" s="210">
        <v>0</v>
      </c>
      <c r="F137" s="219" t="s">
        <v>769</v>
      </c>
      <c r="G137" s="220" t="s">
        <v>1</v>
      </c>
      <c r="H137" s="220" t="s">
        <v>2</v>
      </c>
      <c r="I137" s="210" t="s">
        <v>12</v>
      </c>
      <c r="J137" s="219" t="s">
        <v>770</v>
      </c>
      <c r="K137" s="219" t="s">
        <v>771</v>
      </c>
      <c r="L137" s="219" t="s">
        <v>772</v>
      </c>
      <c r="M137" s="232" t="s">
        <v>4</v>
      </c>
      <c r="N137" s="232" t="s">
        <v>5</v>
      </c>
      <c r="O137" s="213">
        <v>45470</v>
      </c>
      <c r="P137" s="233" t="s">
        <v>24</v>
      </c>
      <c r="Q137" s="233" t="s">
        <v>24</v>
      </c>
      <c r="R137" s="233" t="s">
        <v>24</v>
      </c>
      <c r="S137" s="233" t="s">
        <v>24</v>
      </c>
      <c r="T137" s="233" t="s">
        <v>24</v>
      </c>
      <c r="U137" s="233" t="s">
        <v>24</v>
      </c>
      <c r="V137" s="233" t="s">
        <v>24</v>
      </c>
      <c r="W137" s="233" t="s">
        <v>24</v>
      </c>
      <c r="X137" s="233" t="s">
        <v>24</v>
      </c>
      <c r="Y137" s="233" t="s">
        <v>24</v>
      </c>
      <c r="Z137" s="233" t="s">
        <v>24</v>
      </c>
      <c r="AA137" s="232"/>
      <c r="AB137" s="219" t="s">
        <v>770</v>
      </c>
      <c r="AC137" s="219" t="s">
        <v>771</v>
      </c>
      <c r="AD137" s="219" t="s">
        <v>772</v>
      </c>
      <c r="AE137" s="220" t="s">
        <v>12</v>
      </c>
      <c r="AF137" s="232" t="s">
        <v>4</v>
      </c>
      <c r="AG137" s="230">
        <v>3800</v>
      </c>
      <c r="AH137" s="230">
        <v>33800</v>
      </c>
      <c r="AI137" s="232" t="s">
        <v>6</v>
      </c>
      <c r="AJ137" s="230" t="s">
        <v>104</v>
      </c>
      <c r="AK137" s="232" t="s">
        <v>105</v>
      </c>
      <c r="AL137" s="210" t="s">
        <v>105</v>
      </c>
      <c r="AM137" s="210" t="s">
        <v>105</v>
      </c>
      <c r="AN137" s="210" t="s">
        <v>106</v>
      </c>
      <c r="AO137" s="232"/>
      <c r="AP137" s="234" t="s">
        <v>773</v>
      </c>
      <c r="AQ137" s="228" t="s">
        <v>105</v>
      </c>
      <c r="AR137" s="210" t="s">
        <v>105</v>
      </c>
      <c r="AS137" s="210" t="s">
        <v>105</v>
      </c>
      <c r="AT137" s="210" t="s">
        <v>105</v>
      </c>
      <c r="AU137" s="213">
        <v>45537</v>
      </c>
      <c r="AV137" s="210" t="s">
        <v>105</v>
      </c>
      <c r="AW137" s="210" t="s">
        <v>105</v>
      </c>
      <c r="AX137" s="213">
        <v>45544</v>
      </c>
      <c r="AY137" s="221">
        <v>45544</v>
      </c>
      <c r="AZ137" s="221" t="s">
        <v>220</v>
      </c>
      <c r="BA137" s="235" t="s">
        <v>502</v>
      </c>
      <c r="BB137" s="217" t="s">
        <v>105</v>
      </c>
      <c r="BC137" s="218">
        <f t="shared" si="12"/>
        <v>74</v>
      </c>
      <c r="BD137" s="210" t="str">
        <f t="shared" si="13"/>
        <v>INDENIZAÇÃO</v>
      </c>
      <c r="BE137" s="210" t="str">
        <f t="shared" si="9"/>
        <v>NÃO</v>
      </c>
      <c r="BF137" s="210" t="s">
        <v>24</v>
      </c>
      <c r="BG137" s="210" t="s">
        <v>24</v>
      </c>
      <c r="BH137" s="210" t="s">
        <v>24</v>
      </c>
      <c r="BI137" s="210" t="s">
        <v>105</v>
      </c>
      <c r="BJ137" s="210" t="s">
        <v>105</v>
      </c>
      <c r="BK137" s="213">
        <v>45621</v>
      </c>
      <c r="BL137" s="210" t="s">
        <v>105</v>
      </c>
      <c r="BM137" s="241" t="s">
        <v>220</v>
      </c>
      <c r="BN137" s="232"/>
      <c r="BO137" s="232"/>
      <c r="BP137" s="232"/>
      <c r="BQ137" s="232"/>
      <c r="BR137" s="232"/>
      <c r="BS137" s="232"/>
      <c r="BT137" s="232"/>
      <c r="BU137" s="232"/>
      <c r="BV137" s="232"/>
      <c r="BW137" s="232"/>
      <c r="BX137" s="232"/>
      <c r="BY137" s="232"/>
    </row>
    <row r="138" spans="1:162" ht="35.25" customHeight="1" x14ac:dyDescent="0.25">
      <c r="A138" s="328">
        <v>125</v>
      </c>
      <c r="B138" s="328" t="s">
        <v>99</v>
      </c>
      <c r="C138" s="328">
        <v>3</v>
      </c>
      <c r="D138" s="328">
        <v>0</v>
      </c>
      <c r="E138" s="328">
        <v>0</v>
      </c>
      <c r="F138" s="329" t="s">
        <v>774</v>
      </c>
      <c r="G138" s="328" t="s">
        <v>1</v>
      </c>
      <c r="H138" s="328" t="s">
        <v>2</v>
      </c>
      <c r="I138" s="328" t="s">
        <v>12</v>
      </c>
      <c r="J138" s="329" t="s">
        <v>775</v>
      </c>
      <c r="K138" s="329" t="s">
        <v>776</v>
      </c>
      <c r="L138" s="329" t="s">
        <v>777</v>
      </c>
      <c r="M138" s="327" t="s">
        <v>4</v>
      </c>
      <c r="N138" s="327" t="s">
        <v>5</v>
      </c>
      <c r="O138" s="331">
        <v>45792</v>
      </c>
      <c r="P138" s="326" t="s">
        <v>24</v>
      </c>
      <c r="Q138" s="326" t="s">
        <v>24</v>
      </c>
      <c r="R138" s="326" t="s">
        <v>24</v>
      </c>
      <c r="S138" s="326" t="s">
        <v>24</v>
      </c>
      <c r="T138" s="326" t="s">
        <v>24</v>
      </c>
      <c r="U138" s="326" t="s">
        <v>24</v>
      </c>
      <c r="V138" s="326" t="s">
        <v>24</v>
      </c>
      <c r="W138" s="326" t="s">
        <v>24</v>
      </c>
      <c r="X138" s="326" t="s">
        <v>24</v>
      </c>
      <c r="Y138" s="326" t="s">
        <v>24</v>
      </c>
      <c r="Z138" s="326" t="s">
        <v>24</v>
      </c>
      <c r="AA138" s="327"/>
      <c r="AB138" s="329" t="s">
        <v>775</v>
      </c>
      <c r="AC138" s="329" t="s">
        <v>776</v>
      </c>
      <c r="AD138" s="329" t="s">
        <v>777</v>
      </c>
      <c r="AE138" s="328" t="s">
        <v>12</v>
      </c>
      <c r="AF138" s="327" t="s">
        <v>4</v>
      </c>
      <c r="AG138" s="332">
        <v>53968.62</v>
      </c>
      <c r="AH138" s="332">
        <v>60000</v>
      </c>
      <c r="AI138" s="327" t="s">
        <v>6</v>
      </c>
      <c r="AJ138" s="332" t="s">
        <v>104</v>
      </c>
      <c r="AK138" s="327">
        <v>123439605</v>
      </c>
      <c r="AL138" s="328" t="s">
        <v>105</v>
      </c>
      <c r="AM138" s="328" t="s">
        <v>105</v>
      </c>
      <c r="AN138" s="328" t="s">
        <v>106</v>
      </c>
      <c r="AO138" s="327"/>
      <c r="AP138" s="333" t="s">
        <v>778</v>
      </c>
      <c r="AQ138" s="328" t="s">
        <v>105</v>
      </c>
      <c r="AR138" s="328" t="s">
        <v>105</v>
      </c>
      <c r="AS138" s="328" t="s">
        <v>105</v>
      </c>
      <c r="AT138" s="328" t="s">
        <v>105</v>
      </c>
      <c r="AU138" s="331">
        <v>45821</v>
      </c>
      <c r="AV138" s="328" t="s">
        <v>105</v>
      </c>
      <c r="AW138" s="328" t="s">
        <v>105</v>
      </c>
      <c r="AX138" s="331">
        <v>45826</v>
      </c>
      <c r="AY138" s="331">
        <v>45826</v>
      </c>
      <c r="AZ138" s="326" t="s">
        <v>729</v>
      </c>
      <c r="BA138" s="327" t="s">
        <v>502</v>
      </c>
      <c r="BB138" s="335" t="s">
        <v>105</v>
      </c>
      <c r="BC138" s="334">
        <f t="shared" si="12"/>
        <v>34</v>
      </c>
      <c r="BD138" s="328" t="str">
        <f t="shared" si="13"/>
        <v>INDENIZAÇÃO</v>
      </c>
      <c r="BE138" s="328" t="str">
        <f t="shared" si="9"/>
        <v>NÃO</v>
      </c>
      <c r="BF138" s="328" t="s">
        <v>24</v>
      </c>
      <c r="BG138" s="328" t="s">
        <v>24</v>
      </c>
      <c r="BH138" s="328" t="s">
        <v>24</v>
      </c>
      <c r="BI138" s="328" t="s">
        <v>105</v>
      </c>
      <c r="BJ138" s="328" t="s">
        <v>105</v>
      </c>
      <c r="BK138" s="331">
        <v>45859</v>
      </c>
      <c r="BL138" s="328" t="s">
        <v>105</v>
      </c>
      <c r="BM138" s="328" t="s">
        <v>220</v>
      </c>
      <c r="BN138" s="232"/>
      <c r="BO138" s="232"/>
      <c r="BP138" s="232"/>
      <c r="BQ138" s="232"/>
      <c r="BR138" s="232"/>
      <c r="BS138" s="232"/>
      <c r="BT138" s="232"/>
      <c r="BU138" s="232"/>
      <c r="BV138" s="232"/>
      <c r="BW138" s="232"/>
      <c r="BX138" s="232"/>
      <c r="BY138" s="232"/>
    </row>
    <row r="139" spans="1:162" ht="35.25" customHeight="1" x14ac:dyDescent="0.25">
      <c r="A139" s="210">
        <v>126</v>
      </c>
      <c r="B139" s="210" t="s">
        <v>99</v>
      </c>
      <c r="C139" s="210">
        <v>3</v>
      </c>
      <c r="D139" s="210">
        <v>0</v>
      </c>
      <c r="E139" s="210">
        <v>0</v>
      </c>
      <c r="F139" s="219" t="s">
        <v>779</v>
      </c>
      <c r="G139" s="220" t="s">
        <v>1</v>
      </c>
      <c r="H139" s="220" t="s">
        <v>2</v>
      </c>
      <c r="I139" s="210" t="s">
        <v>12</v>
      </c>
      <c r="J139" s="219" t="s">
        <v>780</v>
      </c>
      <c r="K139" s="219" t="s">
        <v>781</v>
      </c>
      <c r="L139" s="219" t="s">
        <v>782</v>
      </c>
      <c r="M139" s="232" t="s">
        <v>4</v>
      </c>
      <c r="N139" s="232" t="s">
        <v>5</v>
      </c>
      <c r="O139" s="213">
        <v>45819</v>
      </c>
      <c r="P139" s="233" t="s">
        <v>24</v>
      </c>
      <c r="Q139" s="233" t="s">
        <v>24</v>
      </c>
      <c r="R139" s="233" t="s">
        <v>24</v>
      </c>
      <c r="S139" s="233" t="s">
        <v>24</v>
      </c>
      <c r="T139" s="233" t="s">
        <v>24</v>
      </c>
      <c r="U139" s="233" t="s">
        <v>24</v>
      </c>
      <c r="V139" s="233" t="s">
        <v>24</v>
      </c>
      <c r="W139" s="233" t="s">
        <v>24</v>
      </c>
      <c r="X139" s="233" t="s">
        <v>24</v>
      </c>
      <c r="Y139" s="233" t="s">
        <v>24</v>
      </c>
      <c r="Z139" s="233" t="s">
        <v>24</v>
      </c>
      <c r="AA139" s="232"/>
      <c r="AB139" s="219" t="s">
        <v>780</v>
      </c>
      <c r="AC139" s="219" t="s">
        <v>781</v>
      </c>
      <c r="AD139" s="219" t="s">
        <v>782</v>
      </c>
      <c r="AE139" s="220" t="s">
        <v>12</v>
      </c>
      <c r="AF139" s="232" t="s">
        <v>4</v>
      </c>
      <c r="AG139" s="230">
        <f>46959.27</f>
        <v>46959.27</v>
      </c>
      <c r="AH139" s="230">
        <f>60000</f>
        <v>60000</v>
      </c>
      <c r="AI139" s="232" t="s">
        <v>6</v>
      </c>
      <c r="AJ139" s="230" t="s">
        <v>104</v>
      </c>
      <c r="AK139" s="232">
        <v>123439644</v>
      </c>
      <c r="AL139" s="210" t="s">
        <v>105</v>
      </c>
      <c r="AM139" s="210" t="s">
        <v>105</v>
      </c>
      <c r="AN139" s="250" t="s">
        <v>106</v>
      </c>
      <c r="AO139" s="325" t="s">
        <v>783</v>
      </c>
      <c r="AP139" s="234" t="s">
        <v>784</v>
      </c>
      <c r="AQ139" s="228" t="s">
        <v>501</v>
      </c>
      <c r="AR139" s="228" t="s">
        <v>501</v>
      </c>
      <c r="AS139" s="232" t="s">
        <v>105</v>
      </c>
      <c r="AT139" s="232" t="s">
        <v>105</v>
      </c>
      <c r="AU139" s="213">
        <v>45890</v>
      </c>
      <c r="AV139" s="232" t="s">
        <v>105</v>
      </c>
      <c r="AW139" s="232" t="s">
        <v>105</v>
      </c>
      <c r="AX139" s="213">
        <v>45896</v>
      </c>
      <c r="AY139" s="221">
        <v>45896</v>
      </c>
      <c r="AZ139" s="221" t="s">
        <v>220</v>
      </c>
      <c r="BA139" s="235" t="s">
        <v>502</v>
      </c>
      <c r="BB139" s="217" t="s">
        <v>105</v>
      </c>
      <c r="BC139" s="218">
        <f t="shared" si="12"/>
        <v>77</v>
      </c>
      <c r="BD139" s="210" t="str">
        <f t="shared" si="13"/>
        <v>INDENIZAÇÃO</v>
      </c>
      <c r="BE139" s="210" t="str">
        <f t="shared" si="9"/>
        <v>NÃO</v>
      </c>
      <c r="BF139" s="210" t="s">
        <v>24</v>
      </c>
      <c r="BG139" s="210" t="s">
        <v>24</v>
      </c>
      <c r="BH139" s="210" t="s">
        <v>24</v>
      </c>
      <c r="BI139" s="232" t="s">
        <v>105</v>
      </c>
      <c r="BJ139" s="232" t="s">
        <v>105</v>
      </c>
      <c r="BK139" s="213">
        <v>45908</v>
      </c>
      <c r="BL139" s="232" t="s">
        <v>105</v>
      </c>
      <c r="BM139" s="241" t="s">
        <v>220</v>
      </c>
      <c r="BN139" s="232"/>
      <c r="BO139" s="232"/>
      <c r="BP139" s="232"/>
      <c r="BQ139" s="232"/>
      <c r="BR139" s="232"/>
      <c r="BS139" s="232"/>
      <c r="BT139" s="232"/>
      <c r="BU139" s="232"/>
      <c r="BV139" s="232"/>
      <c r="BW139" s="232"/>
      <c r="BX139" s="232"/>
      <c r="BY139" s="232"/>
    </row>
    <row r="140" spans="1:162" ht="35.25" customHeight="1" x14ac:dyDescent="0.25">
      <c r="A140" s="210">
        <v>127</v>
      </c>
      <c r="B140" s="210" t="s">
        <v>99</v>
      </c>
      <c r="C140" s="210">
        <v>3</v>
      </c>
      <c r="D140" s="210">
        <v>0</v>
      </c>
      <c r="E140" s="210">
        <v>0</v>
      </c>
      <c r="F140" s="219" t="s">
        <v>785</v>
      </c>
      <c r="G140" s="220" t="s">
        <v>1</v>
      </c>
      <c r="H140" s="220" t="s">
        <v>2</v>
      </c>
      <c r="I140" s="210" t="s">
        <v>12</v>
      </c>
      <c r="J140" s="219" t="s">
        <v>786</v>
      </c>
      <c r="K140" s="219" t="s">
        <v>787</v>
      </c>
      <c r="L140" s="219" t="s">
        <v>788</v>
      </c>
      <c r="M140" s="232" t="s">
        <v>4</v>
      </c>
      <c r="N140" s="232" t="s">
        <v>5</v>
      </c>
      <c r="O140" s="213">
        <v>45819</v>
      </c>
      <c r="P140" s="233" t="s">
        <v>24</v>
      </c>
      <c r="Q140" s="233" t="s">
        <v>24</v>
      </c>
      <c r="R140" s="233" t="s">
        <v>24</v>
      </c>
      <c r="S140" s="233" t="s">
        <v>24</v>
      </c>
      <c r="T140" s="233" t="s">
        <v>24</v>
      </c>
      <c r="U140" s="233" t="s">
        <v>24</v>
      </c>
      <c r="V140" s="233" t="s">
        <v>24</v>
      </c>
      <c r="W140" s="233" t="s">
        <v>24</v>
      </c>
      <c r="X140" s="233" t="s">
        <v>24</v>
      </c>
      <c r="Y140" s="233" t="s">
        <v>24</v>
      </c>
      <c r="Z140" s="233" t="s">
        <v>24</v>
      </c>
      <c r="AA140" s="232"/>
      <c r="AB140" s="219" t="s">
        <v>786</v>
      </c>
      <c r="AC140" s="219" t="s">
        <v>787</v>
      </c>
      <c r="AD140" s="219" t="s">
        <v>788</v>
      </c>
      <c r="AE140" s="220" t="s">
        <v>12</v>
      </c>
      <c r="AF140" s="232" t="s">
        <v>4</v>
      </c>
      <c r="AG140" s="230">
        <f>19900.68</f>
        <v>19900.68</v>
      </c>
      <c r="AH140" s="230">
        <v>49900.68</v>
      </c>
      <c r="AI140" s="232" t="s">
        <v>6</v>
      </c>
      <c r="AJ140" s="230" t="s">
        <v>104</v>
      </c>
      <c r="AK140" s="232">
        <v>123439688</v>
      </c>
      <c r="AL140" s="210" t="s">
        <v>105</v>
      </c>
      <c r="AM140" s="210" t="s">
        <v>105</v>
      </c>
      <c r="AN140" s="250" t="s">
        <v>106</v>
      </c>
      <c r="AO140" s="325" t="s">
        <v>789</v>
      </c>
      <c r="AP140" s="234" t="s">
        <v>790</v>
      </c>
      <c r="AQ140" s="232" t="s">
        <v>105</v>
      </c>
      <c r="AR140" s="232" t="s">
        <v>105</v>
      </c>
      <c r="AS140" s="232" t="s">
        <v>105</v>
      </c>
      <c r="AT140" s="210" t="s">
        <v>105</v>
      </c>
      <c r="AU140" s="213">
        <v>45869</v>
      </c>
      <c r="AV140" s="232" t="s">
        <v>105</v>
      </c>
      <c r="AW140" s="232" t="s">
        <v>105</v>
      </c>
      <c r="AX140" s="213">
        <v>45876</v>
      </c>
      <c r="AY140" s="236">
        <v>45876</v>
      </c>
      <c r="AZ140" s="221" t="s">
        <v>220</v>
      </c>
      <c r="BA140" s="235" t="s">
        <v>502</v>
      </c>
      <c r="BB140" s="217" t="s">
        <v>105</v>
      </c>
      <c r="BC140" s="218">
        <f t="shared" si="12"/>
        <v>57</v>
      </c>
      <c r="BD140" s="210" t="str">
        <f t="shared" si="13"/>
        <v>INDENIZAÇÃO</v>
      </c>
      <c r="BE140" s="210" t="str">
        <f t="shared" si="9"/>
        <v>NÃO</v>
      </c>
      <c r="BF140" s="210" t="s">
        <v>24</v>
      </c>
      <c r="BG140" s="210" t="s">
        <v>24</v>
      </c>
      <c r="BH140" s="210" t="s">
        <v>24</v>
      </c>
      <c r="BI140" s="232" t="s">
        <v>105</v>
      </c>
      <c r="BJ140" s="232" t="s">
        <v>105</v>
      </c>
      <c r="BK140" s="213">
        <v>45908</v>
      </c>
      <c r="BL140" s="232" t="s">
        <v>105</v>
      </c>
      <c r="BM140" s="241" t="s">
        <v>220</v>
      </c>
      <c r="BN140" s="232"/>
      <c r="BO140" s="232"/>
      <c r="BP140" s="232"/>
      <c r="BQ140" s="232"/>
      <c r="BR140" s="232"/>
      <c r="BS140" s="232"/>
      <c r="BT140" s="232"/>
      <c r="BU140" s="232"/>
      <c r="BV140" s="232"/>
      <c r="BW140" s="232"/>
      <c r="BX140" s="232"/>
      <c r="BY140" s="232"/>
    </row>
    <row r="141" spans="1:162" ht="35.25" customHeight="1" x14ac:dyDescent="0.25">
      <c r="A141" s="210">
        <v>128</v>
      </c>
      <c r="B141" s="210" t="s">
        <v>99</v>
      </c>
      <c r="C141" s="210">
        <v>3</v>
      </c>
      <c r="D141" s="210">
        <v>0</v>
      </c>
      <c r="E141" s="210">
        <v>0</v>
      </c>
      <c r="F141" s="219" t="s">
        <v>791</v>
      </c>
      <c r="G141" s="220" t="s">
        <v>1</v>
      </c>
      <c r="H141" s="220" t="s">
        <v>2</v>
      </c>
      <c r="I141" s="210" t="s">
        <v>12</v>
      </c>
      <c r="J141" s="219" t="s">
        <v>792</v>
      </c>
      <c r="K141" s="219" t="s">
        <v>793</v>
      </c>
      <c r="L141" s="219" t="s">
        <v>794</v>
      </c>
      <c r="M141" s="232" t="s">
        <v>4</v>
      </c>
      <c r="N141" s="232" t="s">
        <v>5</v>
      </c>
      <c r="O141" s="213">
        <v>45819</v>
      </c>
      <c r="P141" s="233" t="s">
        <v>24</v>
      </c>
      <c r="Q141" s="233" t="s">
        <v>24</v>
      </c>
      <c r="R141" s="233" t="s">
        <v>24</v>
      </c>
      <c r="S141" s="233" t="s">
        <v>24</v>
      </c>
      <c r="T141" s="233" t="s">
        <v>24</v>
      </c>
      <c r="U141" s="233" t="s">
        <v>24</v>
      </c>
      <c r="V141" s="233" t="s">
        <v>24</v>
      </c>
      <c r="W141" s="233" t="s">
        <v>24</v>
      </c>
      <c r="X141" s="233" t="s">
        <v>24</v>
      </c>
      <c r="Y141" s="233" t="s">
        <v>24</v>
      </c>
      <c r="Z141" s="233" t="s">
        <v>24</v>
      </c>
      <c r="AA141" s="232"/>
      <c r="AB141" s="219" t="s">
        <v>792</v>
      </c>
      <c r="AC141" s="219" t="s">
        <v>793</v>
      </c>
      <c r="AD141" s="219" t="s">
        <v>794</v>
      </c>
      <c r="AE141" s="220" t="s">
        <v>12</v>
      </c>
      <c r="AF141" s="232" t="s">
        <v>4</v>
      </c>
      <c r="AG141" s="230">
        <f>65983.39</f>
        <v>65983.39</v>
      </c>
      <c r="AH141" s="230">
        <f>65983.39</f>
        <v>65983.39</v>
      </c>
      <c r="AI141" s="232" t="s">
        <v>6</v>
      </c>
      <c r="AJ141" s="230" t="s">
        <v>104</v>
      </c>
      <c r="AK141" s="232">
        <v>129505780</v>
      </c>
      <c r="AL141" s="210" t="s">
        <v>105</v>
      </c>
      <c r="AM141" s="210" t="s">
        <v>105</v>
      </c>
      <c r="AN141" s="250" t="s">
        <v>106</v>
      </c>
      <c r="AO141" s="325" t="s">
        <v>795</v>
      </c>
      <c r="AP141" s="234" t="s">
        <v>796</v>
      </c>
      <c r="AQ141" s="232" t="s">
        <v>105</v>
      </c>
      <c r="AR141" s="232" t="s">
        <v>105</v>
      </c>
      <c r="AS141" s="232" t="s">
        <v>105</v>
      </c>
      <c r="AT141" s="232" t="s">
        <v>105</v>
      </c>
      <c r="AU141" s="213">
        <v>45890</v>
      </c>
      <c r="AV141" s="232" t="s">
        <v>105</v>
      </c>
      <c r="AW141" s="232" t="s">
        <v>105</v>
      </c>
      <c r="AX141" s="213">
        <v>45945</v>
      </c>
      <c r="AY141" s="213">
        <v>45945</v>
      </c>
      <c r="AZ141" s="236" t="s">
        <v>220</v>
      </c>
      <c r="BA141" s="235" t="s">
        <v>502</v>
      </c>
      <c r="BB141" s="217" t="s">
        <v>105</v>
      </c>
      <c r="BC141" s="218">
        <f t="shared" si="12"/>
        <v>126</v>
      </c>
      <c r="BD141" s="210" t="str">
        <f t="shared" si="13"/>
        <v>INDENIZAÇÃO</v>
      </c>
      <c r="BE141" s="210" t="str">
        <f t="shared" si="9"/>
        <v>NÃO</v>
      </c>
      <c r="BF141" s="210" t="s">
        <v>24</v>
      </c>
      <c r="BG141" s="210" t="s">
        <v>24</v>
      </c>
      <c r="BH141" s="210" t="s">
        <v>24</v>
      </c>
      <c r="BI141" s="241" t="s">
        <v>797</v>
      </c>
      <c r="BJ141" s="241"/>
      <c r="BK141" s="221"/>
      <c r="BL141" s="241"/>
      <c r="BM141" s="241"/>
      <c r="BN141" s="232"/>
      <c r="BO141" s="232"/>
      <c r="BP141" s="232"/>
      <c r="BQ141" s="232"/>
      <c r="BR141" s="232"/>
      <c r="BS141" s="232"/>
      <c r="BT141" s="232"/>
      <c r="BU141" s="232"/>
      <c r="BV141" s="232"/>
      <c r="BW141" s="232"/>
      <c r="BX141" s="232"/>
      <c r="BY141" s="232"/>
    </row>
    <row r="142" spans="1:162" ht="35.25" hidden="1" customHeight="1" x14ac:dyDescent="0.25">
      <c r="A142" s="210">
        <v>129</v>
      </c>
      <c r="B142" s="277" t="s">
        <v>99</v>
      </c>
      <c r="C142" s="277">
        <v>2</v>
      </c>
      <c r="D142" s="277">
        <v>0</v>
      </c>
      <c r="E142" s="277">
        <v>0</v>
      </c>
      <c r="F142" s="276" t="s">
        <v>798</v>
      </c>
      <c r="G142" s="277" t="s">
        <v>1</v>
      </c>
      <c r="H142" s="277" t="s">
        <v>20</v>
      </c>
      <c r="I142" s="277" t="s">
        <v>12</v>
      </c>
      <c r="J142" s="276" t="s">
        <v>799</v>
      </c>
      <c r="K142" s="276" t="s">
        <v>800</v>
      </c>
      <c r="L142" s="276" t="s">
        <v>801</v>
      </c>
      <c r="M142" s="255"/>
      <c r="N142" s="255" t="s">
        <v>467</v>
      </c>
      <c r="O142" s="256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  <c r="AA142" s="255"/>
      <c r="AB142" s="276" t="s">
        <v>799</v>
      </c>
      <c r="AC142" s="276" t="s">
        <v>800</v>
      </c>
      <c r="AD142" s="276" t="s">
        <v>801</v>
      </c>
      <c r="AE142" s="277" t="s">
        <v>12</v>
      </c>
      <c r="AF142" s="255"/>
      <c r="AG142" s="292" t="s">
        <v>139</v>
      </c>
      <c r="AH142" s="292" t="s">
        <v>139</v>
      </c>
      <c r="AI142" s="255" t="s">
        <v>467</v>
      </c>
      <c r="AJ142" s="230" t="s">
        <v>104</v>
      </c>
      <c r="AK142" s="255"/>
      <c r="AL142" s="255"/>
      <c r="AM142" s="255"/>
      <c r="AN142" s="255"/>
      <c r="AO142" s="255" t="s">
        <v>467</v>
      </c>
      <c r="AP142" s="257"/>
      <c r="AQ142" s="255"/>
      <c r="AR142" s="255"/>
      <c r="AS142" s="255"/>
      <c r="AT142" s="255"/>
      <c r="AU142" s="255"/>
      <c r="AV142" s="255"/>
      <c r="AW142" s="255"/>
      <c r="AX142" s="239"/>
      <c r="AY142" s="255"/>
      <c r="AZ142" s="239"/>
      <c r="BA142" s="255"/>
      <c r="BB142" s="255" t="s">
        <v>467</v>
      </c>
      <c r="BC142" s="218" t="str">
        <f t="shared" si="12"/>
        <v/>
      </c>
      <c r="BD142" s="210" t="str">
        <f t="shared" si="13"/>
        <v>INDENIZAÇÃO</v>
      </c>
      <c r="BE142" s="210" t="str">
        <f t="shared" ref="BE142:BE205" si="14">IF(AND(AY142&lt;&gt;"AGUARDANDO",AY142&lt;&gt;"",N142="AUXÍLIO ALUGUEL ATÉ INDENIZAÇÃO"),"SIM","NÃO")</f>
        <v>NÃO</v>
      </c>
      <c r="BF142" s="210"/>
      <c r="BG142" s="210"/>
      <c r="BH142" s="210"/>
      <c r="BI142" s="210"/>
      <c r="BJ142" s="210"/>
      <c r="BK142" s="210"/>
      <c r="BL142" s="210"/>
      <c r="BM142" s="210"/>
      <c r="BN142" s="232"/>
      <c r="BO142" s="232"/>
      <c r="BP142" s="232"/>
      <c r="BQ142" s="232"/>
      <c r="BR142" s="232"/>
      <c r="BS142" s="232"/>
      <c r="BT142" s="232"/>
      <c r="BU142" s="232"/>
      <c r="BV142" s="232"/>
      <c r="BW142" s="232"/>
      <c r="BX142" s="232"/>
      <c r="BY142" s="232"/>
    </row>
    <row r="143" spans="1:162" ht="35.25" hidden="1" customHeight="1" x14ac:dyDescent="0.25">
      <c r="A143" s="210">
        <v>130</v>
      </c>
      <c r="B143" s="277" t="s">
        <v>99</v>
      </c>
      <c r="C143" s="277">
        <v>2</v>
      </c>
      <c r="D143" s="277">
        <v>0</v>
      </c>
      <c r="E143" s="277">
        <v>0</v>
      </c>
      <c r="F143" s="276" t="s">
        <v>802</v>
      </c>
      <c r="G143" s="277" t="s">
        <v>1</v>
      </c>
      <c r="H143" s="277" t="s">
        <v>2</v>
      </c>
      <c r="I143" s="277" t="s">
        <v>12</v>
      </c>
      <c r="J143" s="276" t="s">
        <v>803</v>
      </c>
      <c r="K143" s="276" t="s">
        <v>804</v>
      </c>
      <c r="L143" s="276" t="s">
        <v>805</v>
      </c>
      <c r="M143" s="255"/>
      <c r="N143" s="255" t="s">
        <v>467</v>
      </c>
      <c r="O143" s="256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  <c r="AA143" s="255"/>
      <c r="AB143" s="276" t="s">
        <v>803</v>
      </c>
      <c r="AC143" s="276" t="s">
        <v>804</v>
      </c>
      <c r="AD143" s="276" t="s">
        <v>805</v>
      </c>
      <c r="AE143" s="277" t="s">
        <v>12</v>
      </c>
      <c r="AF143" s="255"/>
      <c r="AG143" s="292" t="s">
        <v>139</v>
      </c>
      <c r="AH143" s="292" t="s">
        <v>139</v>
      </c>
      <c r="AI143" s="255" t="s">
        <v>467</v>
      </c>
      <c r="AJ143" s="230" t="s">
        <v>104</v>
      </c>
      <c r="AK143" s="255"/>
      <c r="AL143" s="255"/>
      <c r="AM143" s="255"/>
      <c r="AN143" s="255"/>
      <c r="AO143" s="255" t="s">
        <v>467</v>
      </c>
      <c r="AP143" s="257"/>
      <c r="AQ143" s="255"/>
      <c r="AR143" s="255"/>
      <c r="AS143" s="255"/>
      <c r="AT143" s="255"/>
      <c r="AU143" s="255"/>
      <c r="AV143" s="255"/>
      <c r="AW143" s="255"/>
      <c r="AX143" s="239"/>
      <c r="AY143" s="255"/>
      <c r="AZ143" s="239"/>
      <c r="BA143" s="255"/>
      <c r="BB143" s="255" t="s">
        <v>467</v>
      </c>
      <c r="BC143" s="218" t="str">
        <f t="shared" si="12"/>
        <v/>
      </c>
      <c r="BD143" s="210" t="str">
        <f t="shared" si="13"/>
        <v>INDENIZAÇÃO</v>
      </c>
      <c r="BE143" s="210" t="str">
        <f t="shared" si="14"/>
        <v>NÃO</v>
      </c>
      <c r="BF143" s="210"/>
      <c r="BG143" s="210"/>
      <c r="BH143" s="210"/>
      <c r="BI143" s="210"/>
      <c r="BJ143" s="210"/>
      <c r="BK143" s="210"/>
      <c r="BL143" s="210"/>
      <c r="BM143" s="210"/>
      <c r="BN143" s="232"/>
      <c r="BO143" s="232"/>
      <c r="BP143" s="232"/>
      <c r="BQ143" s="232"/>
      <c r="BR143" s="232"/>
      <c r="BS143" s="232"/>
      <c r="BT143" s="232"/>
      <c r="BU143" s="232"/>
      <c r="BV143" s="232"/>
      <c r="BW143" s="232"/>
      <c r="BX143" s="232"/>
      <c r="BY143" s="232"/>
    </row>
    <row r="144" spans="1:162" ht="35.25" hidden="1" customHeight="1" x14ac:dyDescent="0.25">
      <c r="A144" s="210">
        <v>131</v>
      </c>
      <c r="B144" s="277" t="s">
        <v>99</v>
      </c>
      <c r="C144" s="277">
        <v>2</v>
      </c>
      <c r="D144" s="277">
        <v>0</v>
      </c>
      <c r="E144" s="277">
        <v>0</v>
      </c>
      <c r="F144" s="276" t="s">
        <v>806</v>
      </c>
      <c r="G144" s="277" t="s">
        <v>1</v>
      </c>
      <c r="H144" s="277" t="s">
        <v>2</v>
      </c>
      <c r="I144" s="277" t="s">
        <v>12</v>
      </c>
      <c r="J144" s="276" t="s">
        <v>807</v>
      </c>
      <c r="K144" s="276" t="s">
        <v>808</v>
      </c>
      <c r="L144" s="276" t="s">
        <v>809</v>
      </c>
      <c r="M144" s="255"/>
      <c r="N144" s="255" t="s">
        <v>467</v>
      </c>
      <c r="O144" s="256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  <c r="AA144" s="255"/>
      <c r="AB144" s="276" t="s">
        <v>807</v>
      </c>
      <c r="AC144" s="276" t="s">
        <v>808</v>
      </c>
      <c r="AD144" s="276" t="s">
        <v>809</v>
      </c>
      <c r="AE144" s="277" t="s">
        <v>12</v>
      </c>
      <c r="AF144" s="255"/>
      <c r="AG144" s="292" t="s">
        <v>139</v>
      </c>
      <c r="AH144" s="292" t="s">
        <v>139</v>
      </c>
      <c r="AI144" s="255" t="s">
        <v>467</v>
      </c>
      <c r="AJ144" s="230" t="s">
        <v>104</v>
      </c>
      <c r="AK144" s="255"/>
      <c r="AL144" s="255"/>
      <c r="AM144" s="255"/>
      <c r="AN144" s="255"/>
      <c r="AO144" s="255" t="s">
        <v>467</v>
      </c>
      <c r="AP144" s="257"/>
      <c r="AQ144" s="255"/>
      <c r="AR144" s="255"/>
      <c r="AS144" s="255"/>
      <c r="AT144" s="255"/>
      <c r="AU144" s="255"/>
      <c r="AV144" s="255"/>
      <c r="AW144" s="255"/>
      <c r="AX144" s="239"/>
      <c r="AY144" s="255"/>
      <c r="AZ144" s="239"/>
      <c r="BA144" s="255"/>
      <c r="BB144" s="255" t="s">
        <v>467</v>
      </c>
      <c r="BC144" s="218" t="str">
        <f t="shared" si="12"/>
        <v/>
      </c>
      <c r="BD144" s="210" t="str">
        <f t="shared" si="13"/>
        <v>INDENIZAÇÃO</v>
      </c>
      <c r="BE144" s="210" t="str">
        <f t="shared" si="14"/>
        <v>NÃO</v>
      </c>
      <c r="BF144" s="210"/>
      <c r="BG144" s="210"/>
      <c r="BH144" s="210"/>
      <c r="BI144" s="210"/>
      <c r="BJ144" s="210"/>
      <c r="BK144" s="210"/>
      <c r="BL144" s="210"/>
      <c r="BM144" s="210"/>
      <c r="BN144" s="232"/>
      <c r="BO144" s="232"/>
      <c r="BP144" s="232"/>
      <c r="BQ144" s="232"/>
      <c r="BR144" s="232"/>
      <c r="BS144" s="232"/>
      <c r="BT144" s="232"/>
      <c r="BU144" s="232"/>
      <c r="BV144" s="232"/>
      <c r="BW144" s="232"/>
      <c r="BX144" s="232"/>
      <c r="BY144" s="232"/>
    </row>
    <row r="145" spans="1:162" ht="35.25" hidden="1" customHeight="1" x14ac:dyDescent="0.25">
      <c r="A145" s="210">
        <v>132</v>
      </c>
      <c r="B145" s="277" t="s">
        <v>99</v>
      </c>
      <c r="C145" s="277">
        <v>2</v>
      </c>
      <c r="D145" s="277">
        <v>0</v>
      </c>
      <c r="E145" s="277">
        <v>0</v>
      </c>
      <c r="F145" s="276" t="s">
        <v>810</v>
      </c>
      <c r="G145" s="277" t="s">
        <v>1</v>
      </c>
      <c r="H145" s="277" t="s">
        <v>2</v>
      </c>
      <c r="I145" s="277" t="s">
        <v>12</v>
      </c>
      <c r="J145" s="276" t="s">
        <v>811</v>
      </c>
      <c r="K145" s="276" t="s">
        <v>812</v>
      </c>
      <c r="L145" s="276" t="s">
        <v>813</v>
      </c>
      <c r="M145" s="255"/>
      <c r="N145" s="255" t="s">
        <v>467</v>
      </c>
      <c r="O145" s="256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  <c r="AA145" s="255"/>
      <c r="AB145" s="276" t="s">
        <v>811</v>
      </c>
      <c r="AC145" s="276" t="s">
        <v>812</v>
      </c>
      <c r="AD145" s="276" t="s">
        <v>813</v>
      </c>
      <c r="AE145" s="277" t="s">
        <v>12</v>
      </c>
      <c r="AF145" s="255"/>
      <c r="AG145" s="292" t="s">
        <v>139</v>
      </c>
      <c r="AH145" s="292" t="s">
        <v>139</v>
      </c>
      <c r="AI145" s="255" t="s">
        <v>467</v>
      </c>
      <c r="AJ145" s="230" t="s">
        <v>104</v>
      </c>
      <c r="AK145" s="255"/>
      <c r="AL145" s="255"/>
      <c r="AM145" s="255"/>
      <c r="AN145" s="255"/>
      <c r="AO145" s="255" t="s">
        <v>467</v>
      </c>
      <c r="AP145" s="257"/>
      <c r="AQ145" s="255"/>
      <c r="AR145" s="255"/>
      <c r="AS145" s="255"/>
      <c r="AT145" s="255"/>
      <c r="AU145" s="255"/>
      <c r="AV145" s="255"/>
      <c r="AW145" s="255"/>
      <c r="AX145" s="239"/>
      <c r="AY145" s="255"/>
      <c r="AZ145" s="239"/>
      <c r="BA145" s="255"/>
      <c r="BB145" s="255" t="s">
        <v>467</v>
      </c>
      <c r="BC145" s="218" t="str">
        <f t="shared" si="12"/>
        <v/>
      </c>
      <c r="BD145" s="210" t="str">
        <f t="shared" si="13"/>
        <v>INDENIZAÇÃO</v>
      </c>
      <c r="BE145" s="210" t="str">
        <f t="shared" si="14"/>
        <v>NÃO</v>
      </c>
      <c r="BF145" s="210"/>
      <c r="BG145" s="210"/>
      <c r="BH145" s="210"/>
      <c r="BI145" s="210"/>
      <c r="BJ145" s="210"/>
      <c r="BK145" s="210"/>
      <c r="BL145" s="210"/>
      <c r="BM145" s="210"/>
      <c r="BN145" s="232"/>
      <c r="BO145" s="232"/>
      <c r="BP145" s="232"/>
      <c r="BQ145" s="232"/>
      <c r="BR145" s="232"/>
      <c r="BS145" s="232"/>
      <c r="BT145" s="232"/>
      <c r="BU145" s="232"/>
      <c r="BV145" s="232"/>
      <c r="BW145" s="232"/>
      <c r="BX145" s="232"/>
      <c r="BY145" s="232"/>
    </row>
    <row r="146" spans="1:162" ht="35.25" hidden="1" customHeight="1" x14ac:dyDescent="0.25">
      <c r="A146" s="210">
        <v>133</v>
      </c>
      <c r="B146" s="210" t="s">
        <v>99</v>
      </c>
      <c r="C146" s="210">
        <v>2</v>
      </c>
      <c r="D146" s="210">
        <v>0</v>
      </c>
      <c r="E146" s="210">
        <v>0</v>
      </c>
      <c r="F146" s="219" t="s">
        <v>814</v>
      </c>
      <c r="G146" s="220" t="s">
        <v>1</v>
      </c>
      <c r="H146" s="220" t="s">
        <v>2</v>
      </c>
      <c r="I146" s="210" t="s">
        <v>12</v>
      </c>
      <c r="J146" s="219" t="s">
        <v>334</v>
      </c>
      <c r="K146" s="219" t="s">
        <v>335</v>
      </c>
      <c r="L146" s="219" t="s">
        <v>336</v>
      </c>
      <c r="M146" s="220" t="s">
        <v>4</v>
      </c>
      <c r="N146" s="220" t="s">
        <v>14</v>
      </c>
      <c r="O146" s="213">
        <v>45019</v>
      </c>
      <c r="P146" s="233">
        <v>45189</v>
      </c>
      <c r="Q146" s="213" t="s">
        <v>114</v>
      </c>
      <c r="R146" s="233" t="s">
        <v>105</v>
      </c>
      <c r="S146" s="233" t="s">
        <v>105</v>
      </c>
      <c r="T146" s="213" t="s">
        <v>105</v>
      </c>
      <c r="U146" s="233">
        <v>45236</v>
      </c>
      <c r="V146" s="233" t="s">
        <v>105</v>
      </c>
      <c r="W146" s="233">
        <v>45237</v>
      </c>
      <c r="X146" s="251">
        <v>45253</v>
      </c>
      <c r="Y146" s="236" t="s">
        <v>220</v>
      </c>
      <c r="Z146" s="236"/>
      <c r="AA146" s="232"/>
      <c r="AB146" s="219" t="s">
        <v>334</v>
      </c>
      <c r="AC146" s="219" t="s">
        <v>335</v>
      </c>
      <c r="AD146" s="219" t="s">
        <v>336</v>
      </c>
      <c r="AE146" s="220" t="s">
        <v>12</v>
      </c>
      <c r="AF146" s="210" t="s">
        <v>4</v>
      </c>
      <c r="AG146" s="230">
        <v>0</v>
      </c>
      <c r="AH146" s="230">
        <v>0</v>
      </c>
      <c r="AI146" s="232" t="s">
        <v>23</v>
      </c>
      <c r="AJ146" s="230" t="s">
        <v>104</v>
      </c>
      <c r="AK146" s="210" t="s">
        <v>105</v>
      </c>
      <c r="AL146" s="232" t="s">
        <v>24</v>
      </c>
      <c r="AM146" s="232" t="s">
        <v>24</v>
      </c>
      <c r="AN146" s="232" t="s">
        <v>24</v>
      </c>
      <c r="AO146" s="232"/>
      <c r="AP146" s="234" t="s">
        <v>24</v>
      </c>
      <c r="AQ146" s="232" t="s">
        <v>24</v>
      </c>
      <c r="AR146" s="232" t="s">
        <v>24</v>
      </c>
      <c r="AS146" s="232" t="s">
        <v>24</v>
      </c>
      <c r="AT146" s="232" t="s">
        <v>24</v>
      </c>
      <c r="AU146" s="232" t="s">
        <v>24</v>
      </c>
      <c r="AV146" s="232" t="s">
        <v>24</v>
      </c>
      <c r="AW146" s="232" t="s">
        <v>24</v>
      </c>
      <c r="AX146" s="251">
        <v>45253</v>
      </c>
      <c r="AY146" s="232" t="s">
        <v>815</v>
      </c>
      <c r="AZ146" s="233"/>
      <c r="BA146" s="232"/>
      <c r="BB146" s="232"/>
      <c r="BC146" s="218" t="e">
        <f t="shared" si="12"/>
        <v>#VALUE!</v>
      </c>
      <c r="BD146" s="210" t="str">
        <f t="shared" si="13"/>
        <v>AA</v>
      </c>
      <c r="BE146" s="210" t="str">
        <f t="shared" si="14"/>
        <v>NÃO</v>
      </c>
      <c r="BF146" s="210"/>
      <c r="BG146" s="210"/>
      <c r="BH146" s="210"/>
      <c r="BI146" s="210"/>
      <c r="BJ146" s="210"/>
      <c r="BK146" s="210"/>
      <c r="BL146" s="210"/>
      <c r="BM146" s="210"/>
      <c r="BN146" s="232"/>
      <c r="BO146" s="232"/>
      <c r="BP146" s="232"/>
      <c r="BQ146" s="232"/>
      <c r="BR146" s="232"/>
      <c r="BS146" s="232"/>
      <c r="BT146" s="232"/>
      <c r="BU146" s="232"/>
      <c r="BV146" s="232"/>
      <c r="BW146" s="232"/>
      <c r="BX146" s="232"/>
      <c r="BY146" s="232"/>
    </row>
    <row r="147" spans="1:162" s="258" customFormat="1" ht="35.25" customHeight="1" x14ac:dyDescent="0.25">
      <c r="A147" s="210">
        <v>134</v>
      </c>
      <c r="B147" s="228" t="s">
        <v>99</v>
      </c>
      <c r="C147" s="228">
        <v>2</v>
      </c>
      <c r="D147" s="228">
        <v>0</v>
      </c>
      <c r="E147" s="228">
        <v>0</v>
      </c>
      <c r="F147" s="215" t="s">
        <v>816</v>
      </c>
      <c r="G147" s="228" t="s">
        <v>1</v>
      </c>
      <c r="H147" s="228" t="s">
        <v>2</v>
      </c>
      <c r="I147" s="210" t="s">
        <v>12</v>
      </c>
      <c r="J147" s="215" t="s">
        <v>817</v>
      </c>
      <c r="K147" s="215" t="s">
        <v>818</v>
      </c>
      <c r="L147" s="215" t="s">
        <v>819</v>
      </c>
      <c r="M147" s="232" t="s">
        <v>4</v>
      </c>
      <c r="N147" s="250" t="s">
        <v>5</v>
      </c>
      <c r="O147" s="213">
        <v>45253</v>
      </c>
      <c r="P147" s="233" t="s">
        <v>24</v>
      </c>
      <c r="Q147" s="233" t="s">
        <v>24</v>
      </c>
      <c r="R147" s="233" t="s">
        <v>24</v>
      </c>
      <c r="S147" s="233" t="s">
        <v>24</v>
      </c>
      <c r="T147" s="233" t="s">
        <v>24</v>
      </c>
      <c r="U147" s="233" t="s">
        <v>24</v>
      </c>
      <c r="V147" s="233" t="s">
        <v>24</v>
      </c>
      <c r="W147" s="233" t="s">
        <v>24</v>
      </c>
      <c r="X147" s="233" t="s">
        <v>24</v>
      </c>
      <c r="Y147" s="233" t="s">
        <v>24</v>
      </c>
      <c r="Z147" s="233" t="s">
        <v>24</v>
      </c>
      <c r="AA147" s="250"/>
      <c r="AB147" s="215" t="s">
        <v>817</v>
      </c>
      <c r="AC147" s="215" t="s">
        <v>818</v>
      </c>
      <c r="AD147" s="215" t="s">
        <v>819</v>
      </c>
      <c r="AE147" s="228" t="s">
        <v>12</v>
      </c>
      <c r="AF147" s="210" t="s">
        <v>4</v>
      </c>
      <c r="AG147" s="293">
        <v>66000</v>
      </c>
      <c r="AH147" s="293">
        <v>66000</v>
      </c>
      <c r="AI147" s="250" t="s">
        <v>6</v>
      </c>
      <c r="AJ147" s="230" t="s">
        <v>104</v>
      </c>
      <c r="AK147" s="210" t="s">
        <v>105</v>
      </c>
      <c r="AL147" s="250" t="s">
        <v>105</v>
      </c>
      <c r="AM147" s="250" t="s">
        <v>105</v>
      </c>
      <c r="AN147" s="250" t="s">
        <v>106</v>
      </c>
      <c r="AO147" s="250" t="s">
        <v>820</v>
      </c>
      <c r="AP147" s="267" t="s">
        <v>821</v>
      </c>
      <c r="AQ147" s="228" t="s">
        <v>105</v>
      </c>
      <c r="AR147" s="228" t="s">
        <v>105</v>
      </c>
      <c r="AS147" s="210" t="s">
        <v>105</v>
      </c>
      <c r="AT147" s="210" t="s">
        <v>105</v>
      </c>
      <c r="AU147" s="213">
        <v>45351</v>
      </c>
      <c r="AV147" s="210" t="s">
        <v>105</v>
      </c>
      <c r="AW147" s="210" t="s">
        <v>105</v>
      </c>
      <c r="AX147" s="213">
        <v>45359</v>
      </c>
      <c r="AY147" s="221">
        <v>45359</v>
      </c>
      <c r="AZ147" s="236" t="s">
        <v>220</v>
      </c>
      <c r="BA147" s="235" t="s">
        <v>502</v>
      </c>
      <c r="BB147" s="217" t="s">
        <v>105</v>
      </c>
      <c r="BC147" s="218">
        <f t="shared" si="12"/>
        <v>106</v>
      </c>
      <c r="BD147" s="210" t="str">
        <f t="shared" si="13"/>
        <v>INDENIZAÇÃO</v>
      </c>
      <c r="BE147" s="210" t="str">
        <f t="shared" si="14"/>
        <v>NÃO</v>
      </c>
      <c r="BF147" s="210" t="s">
        <v>24</v>
      </c>
      <c r="BG147" s="210" t="s">
        <v>24</v>
      </c>
      <c r="BH147" s="210" t="s">
        <v>24</v>
      </c>
      <c r="BI147" s="210" t="s">
        <v>105</v>
      </c>
      <c r="BJ147" s="210" t="s">
        <v>105</v>
      </c>
      <c r="BK147" s="213">
        <v>45510</v>
      </c>
      <c r="BL147" s="210" t="s">
        <v>105</v>
      </c>
      <c r="BM147" s="241" t="s">
        <v>220</v>
      </c>
      <c r="BN147" s="250"/>
      <c r="BO147" s="250"/>
      <c r="BP147" s="250"/>
      <c r="BQ147" s="250"/>
      <c r="BR147" s="250"/>
      <c r="BS147" s="250"/>
      <c r="BT147" s="250"/>
      <c r="BU147" s="250"/>
      <c r="BV147" s="250"/>
      <c r="BW147" s="250"/>
      <c r="BX147" s="250"/>
      <c r="BY147" s="250"/>
    </row>
    <row r="148" spans="1:162" ht="35.25" customHeight="1" x14ac:dyDescent="0.25">
      <c r="A148" s="210">
        <v>135</v>
      </c>
      <c r="B148" s="210" t="s">
        <v>99</v>
      </c>
      <c r="C148" s="210">
        <v>2</v>
      </c>
      <c r="D148" s="210">
        <v>0</v>
      </c>
      <c r="E148" s="210">
        <v>0</v>
      </c>
      <c r="F148" s="215" t="s">
        <v>822</v>
      </c>
      <c r="G148" s="228" t="s">
        <v>1</v>
      </c>
      <c r="H148" s="228" t="s">
        <v>2</v>
      </c>
      <c r="I148" s="210" t="s">
        <v>12</v>
      </c>
      <c r="J148" s="215" t="s">
        <v>823</v>
      </c>
      <c r="K148" s="215" t="s">
        <v>824</v>
      </c>
      <c r="L148" s="215" t="s">
        <v>825</v>
      </c>
      <c r="M148" s="232" t="s">
        <v>4</v>
      </c>
      <c r="N148" s="250" t="s">
        <v>5</v>
      </c>
      <c r="O148" s="229">
        <v>45401</v>
      </c>
      <c r="P148" s="233" t="s">
        <v>24</v>
      </c>
      <c r="Q148" s="233" t="s">
        <v>24</v>
      </c>
      <c r="R148" s="233" t="s">
        <v>24</v>
      </c>
      <c r="S148" s="233" t="s">
        <v>24</v>
      </c>
      <c r="T148" s="233" t="s">
        <v>24</v>
      </c>
      <c r="U148" s="233" t="s">
        <v>24</v>
      </c>
      <c r="V148" s="233" t="s">
        <v>24</v>
      </c>
      <c r="W148" s="233" t="s">
        <v>24</v>
      </c>
      <c r="X148" s="233" t="s">
        <v>24</v>
      </c>
      <c r="Y148" s="233" t="s">
        <v>24</v>
      </c>
      <c r="Z148" s="233" t="s">
        <v>24</v>
      </c>
      <c r="AA148" s="250"/>
      <c r="AB148" s="215" t="s">
        <v>823</v>
      </c>
      <c r="AC148" s="215" t="s">
        <v>824</v>
      </c>
      <c r="AD148" s="215" t="s">
        <v>825</v>
      </c>
      <c r="AE148" s="228" t="s">
        <v>12</v>
      </c>
      <c r="AF148" s="250" t="s">
        <v>4</v>
      </c>
      <c r="AG148" s="293">
        <v>1013</v>
      </c>
      <c r="AH148" s="293">
        <v>31013</v>
      </c>
      <c r="AI148" s="250" t="s">
        <v>6</v>
      </c>
      <c r="AJ148" s="230" t="s">
        <v>104</v>
      </c>
      <c r="AK148" s="250" t="s">
        <v>105</v>
      </c>
      <c r="AL148" s="250" t="s">
        <v>105</v>
      </c>
      <c r="AM148" s="250" t="s">
        <v>105</v>
      </c>
      <c r="AN148" s="250" t="s">
        <v>106</v>
      </c>
      <c r="AO148" s="250"/>
      <c r="AP148" s="249" t="s">
        <v>826</v>
      </c>
      <c r="AQ148" s="228" t="s">
        <v>105</v>
      </c>
      <c r="AR148" s="228" t="s">
        <v>105</v>
      </c>
      <c r="AS148" s="228" t="s">
        <v>105</v>
      </c>
      <c r="AT148" s="228" t="s">
        <v>105</v>
      </c>
      <c r="AU148" s="233">
        <v>45467</v>
      </c>
      <c r="AV148" s="228" t="s">
        <v>105</v>
      </c>
      <c r="AW148" s="228" t="s">
        <v>105</v>
      </c>
      <c r="AX148" s="233">
        <v>45492</v>
      </c>
      <c r="AY148" s="236">
        <v>45492</v>
      </c>
      <c r="AZ148" s="236" t="s">
        <v>220</v>
      </c>
      <c r="BA148" s="235" t="s">
        <v>502</v>
      </c>
      <c r="BB148" s="217" t="s">
        <v>105</v>
      </c>
      <c r="BC148" s="218">
        <f t="shared" si="12"/>
        <v>91</v>
      </c>
      <c r="BD148" s="210" t="str">
        <f t="shared" si="13"/>
        <v>INDENIZAÇÃO</v>
      </c>
      <c r="BE148" s="210" t="str">
        <f t="shared" si="14"/>
        <v>NÃO</v>
      </c>
      <c r="BF148" s="210" t="s">
        <v>24</v>
      </c>
      <c r="BG148" s="210" t="s">
        <v>24</v>
      </c>
      <c r="BH148" s="210" t="s">
        <v>24</v>
      </c>
      <c r="BI148" s="210" t="s">
        <v>105</v>
      </c>
      <c r="BJ148" s="210" t="s">
        <v>105</v>
      </c>
      <c r="BK148" s="213">
        <v>45621</v>
      </c>
      <c r="BL148" s="210" t="s">
        <v>105</v>
      </c>
      <c r="BM148" s="241" t="s">
        <v>220</v>
      </c>
      <c r="BN148" s="232"/>
      <c r="BO148" s="232"/>
      <c r="BP148" s="232"/>
      <c r="BQ148" s="232"/>
      <c r="BR148" s="232"/>
      <c r="BS148" s="232"/>
      <c r="BT148" s="232"/>
      <c r="BU148" s="232"/>
      <c r="BV148" s="232"/>
      <c r="BW148" s="232"/>
      <c r="BX148" s="232"/>
      <c r="BY148" s="232"/>
    </row>
    <row r="149" spans="1:162" ht="35.25" customHeight="1" x14ac:dyDescent="0.25">
      <c r="A149" s="210">
        <v>136</v>
      </c>
      <c r="B149" s="210" t="s">
        <v>99</v>
      </c>
      <c r="C149" s="210">
        <v>2</v>
      </c>
      <c r="D149" s="210">
        <v>0</v>
      </c>
      <c r="E149" s="210">
        <v>0</v>
      </c>
      <c r="F149" s="219" t="s">
        <v>827</v>
      </c>
      <c r="G149" s="210" t="s">
        <v>1</v>
      </c>
      <c r="H149" s="210" t="s">
        <v>2</v>
      </c>
      <c r="I149" s="210" t="s">
        <v>12</v>
      </c>
      <c r="J149" s="219" t="s">
        <v>828</v>
      </c>
      <c r="K149" s="219" t="s">
        <v>829</v>
      </c>
      <c r="L149" s="219" t="s">
        <v>830</v>
      </c>
      <c r="M149" s="232" t="s">
        <v>4</v>
      </c>
      <c r="N149" s="232" t="s">
        <v>5</v>
      </c>
      <c r="O149" s="213">
        <v>45019</v>
      </c>
      <c r="P149" s="233" t="s">
        <v>24</v>
      </c>
      <c r="Q149" s="233" t="s">
        <v>24</v>
      </c>
      <c r="R149" s="233" t="s">
        <v>24</v>
      </c>
      <c r="S149" s="233" t="s">
        <v>24</v>
      </c>
      <c r="T149" s="233" t="s">
        <v>24</v>
      </c>
      <c r="U149" s="233" t="s">
        <v>24</v>
      </c>
      <c r="V149" s="233" t="s">
        <v>24</v>
      </c>
      <c r="W149" s="233" t="s">
        <v>24</v>
      </c>
      <c r="X149" s="233" t="s">
        <v>24</v>
      </c>
      <c r="Y149" s="233" t="s">
        <v>24</v>
      </c>
      <c r="Z149" s="233" t="s">
        <v>24</v>
      </c>
      <c r="AA149" s="232"/>
      <c r="AB149" s="219" t="s">
        <v>828</v>
      </c>
      <c r="AC149" s="219" t="s">
        <v>829</v>
      </c>
      <c r="AD149" s="219" t="s">
        <v>830</v>
      </c>
      <c r="AE149" s="220" t="s">
        <v>12</v>
      </c>
      <c r="AF149" s="250" t="s">
        <v>4</v>
      </c>
      <c r="AG149" s="230">
        <v>13700</v>
      </c>
      <c r="AH149" s="230">
        <f>AG149+30000</f>
        <v>43700</v>
      </c>
      <c r="AI149" s="232" t="s">
        <v>6</v>
      </c>
      <c r="AJ149" s="230" t="s">
        <v>104</v>
      </c>
      <c r="AK149" s="250" t="s">
        <v>105</v>
      </c>
      <c r="AL149" s="232" t="s">
        <v>105</v>
      </c>
      <c r="AM149" s="250" t="s">
        <v>105</v>
      </c>
      <c r="AN149" s="232" t="s">
        <v>106</v>
      </c>
      <c r="AO149" s="259" t="s">
        <v>831</v>
      </c>
      <c r="AP149" s="234" t="s">
        <v>832</v>
      </c>
      <c r="AQ149" s="228" t="s">
        <v>105</v>
      </c>
      <c r="AR149" s="228" t="s">
        <v>105</v>
      </c>
      <c r="AS149" s="228" t="s">
        <v>105</v>
      </c>
      <c r="AT149" s="228" t="s">
        <v>105</v>
      </c>
      <c r="AU149" s="233">
        <v>45467</v>
      </c>
      <c r="AV149" s="228" t="s">
        <v>105</v>
      </c>
      <c r="AW149" s="228" t="s">
        <v>105</v>
      </c>
      <c r="AX149" s="233">
        <v>45471</v>
      </c>
      <c r="AY149" s="236">
        <v>45471</v>
      </c>
      <c r="AZ149" s="236" t="s">
        <v>220</v>
      </c>
      <c r="BA149" s="235" t="s">
        <v>502</v>
      </c>
      <c r="BB149" s="217" t="s">
        <v>105</v>
      </c>
      <c r="BC149" s="218">
        <f t="shared" si="12"/>
        <v>452</v>
      </c>
      <c r="BD149" s="210" t="str">
        <f t="shared" si="13"/>
        <v>INDENIZAÇÃO</v>
      </c>
      <c r="BE149" s="210" t="str">
        <f t="shared" si="14"/>
        <v>NÃO</v>
      </c>
      <c r="BF149" s="210" t="s">
        <v>24</v>
      </c>
      <c r="BG149" s="210" t="s">
        <v>24</v>
      </c>
      <c r="BH149" s="210" t="s">
        <v>24</v>
      </c>
      <c r="BI149" s="210" t="s">
        <v>105</v>
      </c>
      <c r="BJ149" s="210" t="s">
        <v>105</v>
      </c>
      <c r="BK149" s="213">
        <v>45621</v>
      </c>
      <c r="BL149" s="210" t="s">
        <v>105</v>
      </c>
      <c r="BM149" s="241" t="s">
        <v>220</v>
      </c>
      <c r="BN149" s="232"/>
      <c r="BO149" s="232"/>
      <c r="BP149" s="232"/>
      <c r="BQ149" s="232"/>
      <c r="BR149" s="232"/>
      <c r="BS149" s="232"/>
      <c r="BT149" s="232"/>
      <c r="BU149" s="232"/>
      <c r="BV149" s="232"/>
      <c r="BW149" s="232"/>
      <c r="BX149" s="232"/>
      <c r="BY149" s="232"/>
    </row>
    <row r="150" spans="1:162" s="258" customFormat="1" ht="35.25" customHeight="1" x14ac:dyDescent="0.25">
      <c r="A150" s="210">
        <v>137</v>
      </c>
      <c r="B150" s="228" t="s">
        <v>99</v>
      </c>
      <c r="C150" s="228">
        <v>2</v>
      </c>
      <c r="D150" s="228">
        <v>0</v>
      </c>
      <c r="E150" s="228">
        <v>0</v>
      </c>
      <c r="F150" s="215" t="s">
        <v>833</v>
      </c>
      <c r="G150" s="228" t="s">
        <v>1</v>
      </c>
      <c r="H150" s="228" t="s">
        <v>2</v>
      </c>
      <c r="I150" s="210" t="s">
        <v>12</v>
      </c>
      <c r="J150" s="215" t="s">
        <v>834</v>
      </c>
      <c r="K150" s="215" t="s">
        <v>835</v>
      </c>
      <c r="L150" s="215" t="s">
        <v>836</v>
      </c>
      <c r="M150" s="250" t="s">
        <v>4</v>
      </c>
      <c r="N150" s="250" t="s">
        <v>5</v>
      </c>
      <c r="O150" s="229">
        <v>45253</v>
      </c>
      <c r="P150" s="233" t="s">
        <v>24</v>
      </c>
      <c r="Q150" s="233" t="s">
        <v>24</v>
      </c>
      <c r="R150" s="233" t="s">
        <v>24</v>
      </c>
      <c r="S150" s="233" t="s">
        <v>24</v>
      </c>
      <c r="T150" s="233" t="s">
        <v>24</v>
      </c>
      <c r="U150" s="233" t="s">
        <v>24</v>
      </c>
      <c r="V150" s="233" t="s">
        <v>24</v>
      </c>
      <c r="W150" s="233" t="s">
        <v>24</v>
      </c>
      <c r="X150" s="233" t="s">
        <v>24</v>
      </c>
      <c r="Y150" s="233" t="s">
        <v>24</v>
      </c>
      <c r="Z150" s="233" t="s">
        <v>24</v>
      </c>
      <c r="AA150" s="250"/>
      <c r="AB150" s="215" t="s">
        <v>834</v>
      </c>
      <c r="AC150" s="215" t="s">
        <v>835</v>
      </c>
      <c r="AD150" s="215" t="s">
        <v>836</v>
      </c>
      <c r="AE150" s="220" t="s">
        <v>12</v>
      </c>
      <c r="AF150" s="250" t="s">
        <v>4</v>
      </c>
      <c r="AG150" s="293">
        <f>AH150-30000</f>
        <v>26319.61</v>
      </c>
      <c r="AH150" s="293">
        <v>56319.61</v>
      </c>
      <c r="AI150" s="250" t="s">
        <v>6</v>
      </c>
      <c r="AJ150" s="230" t="s">
        <v>104</v>
      </c>
      <c r="AK150" s="250" t="s">
        <v>105</v>
      </c>
      <c r="AL150" s="232" t="s">
        <v>105</v>
      </c>
      <c r="AM150" s="250" t="s">
        <v>105</v>
      </c>
      <c r="AN150" s="250" t="s">
        <v>106</v>
      </c>
      <c r="AO150" s="250"/>
      <c r="AP150" s="249" t="s">
        <v>837</v>
      </c>
      <c r="AQ150" s="228" t="s">
        <v>105</v>
      </c>
      <c r="AR150" s="228" t="s">
        <v>105</v>
      </c>
      <c r="AS150" s="232" t="s">
        <v>105</v>
      </c>
      <c r="AT150" s="228" t="s">
        <v>105</v>
      </c>
      <c r="AU150" s="229">
        <v>45286</v>
      </c>
      <c r="AV150" s="228" t="s">
        <v>105</v>
      </c>
      <c r="AW150" s="228" t="s">
        <v>105</v>
      </c>
      <c r="AX150" s="229">
        <v>45294</v>
      </c>
      <c r="AY150" s="236">
        <v>45306</v>
      </c>
      <c r="AZ150" s="235" t="s">
        <v>220</v>
      </c>
      <c r="BA150" s="235" t="s">
        <v>502</v>
      </c>
      <c r="BB150" s="217" t="s">
        <v>105</v>
      </c>
      <c r="BC150" s="218">
        <f t="shared" si="12"/>
        <v>53</v>
      </c>
      <c r="BD150" s="210" t="str">
        <f t="shared" si="13"/>
        <v>INDENIZAÇÃO</v>
      </c>
      <c r="BE150" s="210" t="str">
        <f t="shared" si="14"/>
        <v>NÃO</v>
      </c>
      <c r="BF150" s="210" t="s">
        <v>24</v>
      </c>
      <c r="BG150" s="210" t="s">
        <v>24</v>
      </c>
      <c r="BH150" s="210" t="s">
        <v>24</v>
      </c>
      <c r="BI150" s="210" t="s">
        <v>105</v>
      </c>
      <c r="BJ150" s="210" t="s">
        <v>105</v>
      </c>
      <c r="BK150" s="213">
        <v>45510</v>
      </c>
      <c r="BL150" s="210" t="s">
        <v>105</v>
      </c>
      <c r="BM150" s="241" t="s">
        <v>220</v>
      </c>
      <c r="BN150" s="250"/>
      <c r="BO150" s="250"/>
      <c r="BP150" s="250"/>
      <c r="BQ150" s="250"/>
      <c r="BR150" s="250"/>
      <c r="BS150" s="250"/>
      <c r="BT150" s="250"/>
      <c r="BU150" s="250"/>
      <c r="BV150" s="250"/>
      <c r="BW150" s="250"/>
      <c r="BX150" s="250"/>
      <c r="BY150" s="250"/>
    </row>
    <row r="151" spans="1:162" ht="35.25" hidden="1" customHeight="1" x14ac:dyDescent="0.25">
      <c r="A151" s="210">
        <v>138</v>
      </c>
      <c r="B151" s="277" t="s">
        <v>99</v>
      </c>
      <c r="C151" s="277">
        <v>2</v>
      </c>
      <c r="D151" s="277">
        <v>0</v>
      </c>
      <c r="E151" s="277">
        <v>0</v>
      </c>
      <c r="F151" s="276" t="s">
        <v>838</v>
      </c>
      <c r="G151" s="277" t="s">
        <v>1</v>
      </c>
      <c r="H151" s="277" t="s">
        <v>2</v>
      </c>
      <c r="I151" s="277" t="s">
        <v>121</v>
      </c>
      <c r="J151" s="276" t="s">
        <v>839</v>
      </c>
      <c r="K151" s="276" t="s">
        <v>840</v>
      </c>
      <c r="L151" s="276" t="s">
        <v>841</v>
      </c>
      <c r="M151" s="255" t="s">
        <v>4</v>
      </c>
      <c r="N151" s="255" t="s">
        <v>14</v>
      </c>
      <c r="O151" s="256">
        <v>45237</v>
      </c>
      <c r="P151" s="239" t="s">
        <v>105</v>
      </c>
      <c r="Q151" s="256" t="s">
        <v>114</v>
      </c>
      <c r="R151" s="239" t="s">
        <v>105</v>
      </c>
      <c r="S151" s="239" t="s">
        <v>105</v>
      </c>
      <c r="T151" s="239" t="s">
        <v>105</v>
      </c>
      <c r="U151" s="239">
        <v>45385</v>
      </c>
      <c r="V151" s="239" t="s">
        <v>105</v>
      </c>
      <c r="W151" s="239">
        <v>45385</v>
      </c>
      <c r="X151" s="239">
        <v>45404</v>
      </c>
      <c r="Y151" s="239">
        <v>45408</v>
      </c>
      <c r="Z151" s="239"/>
      <c r="AA151" s="255"/>
      <c r="AB151" s="276" t="s">
        <v>842</v>
      </c>
      <c r="AC151" s="276" t="s">
        <v>843</v>
      </c>
      <c r="AD151" s="276" t="s">
        <v>844</v>
      </c>
      <c r="AE151" s="277" t="s">
        <v>547</v>
      </c>
      <c r="AF151" s="255" t="s">
        <v>4</v>
      </c>
      <c r="AG151" s="292">
        <v>2600</v>
      </c>
      <c r="AH151" s="292">
        <v>2600</v>
      </c>
      <c r="AI151" s="255" t="s">
        <v>467</v>
      </c>
      <c r="AJ151" s="230" t="s">
        <v>104</v>
      </c>
      <c r="AK151" s="255" t="s">
        <v>105</v>
      </c>
      <c r="AL151" s="255" t="s">
        <v>105</v>
      </c>
      <c r="AM151" s="255" t="s">
        <v>105</v>
      </c>
      <c r="AN151" s="255" t="s">
        <v>106</v>
      </c>
      <c r="AO151" s="255" t="s">
        <v>467</v>
      </c>
      <c r="AP151" s="234" t="s">
        <v>845</v>
      </c>
      <c r="AQ151" s="277" t="s">
        <v>467</v>
      </c>
      <c r="AR151" s="277"/>
      <c r="AS151" s="255" t="s">
        <v>846</v>
      </c>
      <c r="AT151" s="255"/>
      <c r="AU151" s="255"/>
      <c r="AV151" s="255"/>
      <c r="AW151" s="255"/>
      <c r="AX151" s="239"/>
      <c r="AY151" s="255"/>
      <c r="AZ151" s="239"/>
      <c r="BA151" s="255" t="s">
        <v>1</v>
      </c>
      <c r="BB151" s="255" t="s">
        <v>467</v>
      </c>
      <c r="BC151" s="218" t="str">
        <f t="shared" si="12"/>
        <v/>
      </c>
      <c r="BD151" s="210" t="str">
        <f t="shared" si="13"/>
        <v>INDENIZAÇÃO</v>
      </c>
      <c r="BE151" s="210" t="str">
        <f t="shared" si="14"/>
        <v>NÃO</v>
      </c>
      <c r="BF151" s="228"/>
      <c r="BG151" s="228"/>
      <c r="BH151" s="228"/>
      <c r="BI151" s="228"/>
      <c r="BJ151" s="228"/>
      <c r="BK151" s="228"/>
      <c r="BL151" s="228"/>
      <c r="BM151" s="228"/>
      <c r="BN151" s="250"/>
      <c r="BO151" s="250"/>
      <c r="BP151" s="250"/>
      <c r="BQ151" s="250"/>
      <c r="BR151" s="250"/>
      <c r="BS151" s="250"/>
      <c r="BT151" s="250"/>
      <c r="BU151" s="250"/>
      <c r="BV151" s="250"/>
      <c r="BW151" s="250"/>
      <c r="BX151" s="250"/>
      <c r="BY151" s="250"/>
      <c r="BZ151" s="258"/>
      <c r="CA151" s="258"/>
      <c r="CB151" s="258"/>
      <c r="CC151" s="258"/>
      <c r="CD151" s="258"/>
      <c r="CE151" s="258"/>
      <c r="CF151" s="258"/>
      <c r="CG151" s="258"/>
      <c r="CH151" s="258"/>
      <c r="CI151" s="258"/>
      <c r="CJ151" s="258"/>
      <c r="CK151" s="258"/>
      <c r="CL151" s="258"/>
      <c r="CM151" s="258"/>
      <c r="CN151" s="258"/>
      <c r="CO151" s="258"/>
      <c r="CP151" s="258"/>
      <c r="CQ151" s="258"/>
      <c r="CR151" s="258"/>
      <c r="CS151" s="258"/>
      <c r="CT151" s="258"/>
      <c r="CU151" s="258"/>
      <c r="CV151" s="258"/>
      <c r="CW151" s="258"/>
      <c r="CX151" s="258"/>
      <c r="CY151" s="258"/>
      <c r="CZ151" s="258"/>
      <c r="DA151" s="258"/>
      <c r="DB151" s="258"/>
      <c r="DC151" s="258"/>
      <c r="DD151" s="258"/>
      <c r="DE151" s="258"/>
      <c r="DF151" s="258"/>
      <c r="DG151" s="258"/>
      <c r="DH151" s="258"/>
      <c r="DI151" s="258"/>
      <c r="DJ151" s="258"/>
      <c r="DK151" s="258"/>
      <c r="DL151" s="258"/>
      <c r="DM151" s="258"/>
      <c r="DN151" s="258"/>
      <c r="DO151" s="258"/>
      <c r="DP151" s="258"/>
      <c r="DQ151" s="258"/>
      <c r="DR151" s="258"/>
      <c r="DS151" s="258"/>
      <c r="DT151" s="258"/>
      <c r="DU151" s="258"/>
      <c r="DV151" s="258"/>
      <c r="DW151" s="258"/>
      <c r="DX151" s="258"/>
      <c r="DY151" s="258"/>
      <c r="DZ151" s="258"/>
      <c r="EA151" s="258"/>
      <c r="EB151" s="258"/>
      <c r="EC151" s="258"/>
      <c r="ED151" s="258"/>
      <c r="EE151" s="258"/>
      <c r="EF151" s="258"/>
      <c r="EG151" s="258"/>
      <c r="EH151" s="258"/>
      <c r="EI151" s="258"/>
      <c r="EJ151" s="258"/>
      <c r="EK151" s="258"/>
      <c r="EL151" s="258"/>
      <c r="EM151" s="258"/>
      <c r="EN151" s="258"/>
      <c r="EO151" s="258"/>
      <c r="EP151" s="258"/>
      <c r="EQ151" s="258"/>
      <c r="ER151" s="258"/>
      <c r="ES151" s="258"/>
      <c r="ET151" s="258"/>
      <c r="EU151" s="258"/>
      <c r="EV151" s="258"/>
      <c r="EW151" s="258"/>
      <c r="EX151" s="258"/>
      <c r="EY151" s="258"/>
      <c r="EZ151" s="258"/>
      <c r="FA151" s="258"/>
      <c r="FB151" s="258"/>
      <c r="FC151" s="258"/>
      <c r="FD151" s="258"/>
      <c r="FE151" s="258"/>
      <c r="FF151" s="258"/>
    </row>
    <row r="152" spans="1:162" ht="35.25" hidden="1" customHeight="1" x14ac:dyDescent="0.25">
      <c r="A152" s="210">
        <v>139</v>
      </c>
      <c r="B152" s="210" t="s">
        <v>99</v>
      </c>
      <c r="C152" s="210">
        <v>2</v>
      </c>
      <c r="D152" s="210">
        <v>0</v>
      </c>
      <c r="E152" s="210">
        <v>0</v>
      </c>
      <c r="F152" s="278" t="s">
        <v>847</v>
      </c>
      <c r="G152" s="210" t="s">
        <v>1</v>
      </c>
      <c r="H152" s="210" t="s">
        <v>2</v>
      </c>
      <c r="I152" s="210" t="s">
        <v>121</v>
      </c>
      <c r="J152" s="219" t="s">
        <v>848</v>
      </c>
      <c r="K152" s="219" t="s">
        <v>849</v>
      </c>
      <c r="L152" s="219" t="s">
        <v>850</v>
      </c>
      <c r="M152" s="232" t="s">
        <v>4</v>
      </c>
      <c r="N152" s="232" t="s">
        <v>14</v>
      </c>
      <c r="O152" s="213">
        <v>45019</v>
      </c>
      <c r="P152" s="233">
        <v>45238</v>
      </c>
      <c r="Q152" s="213" t="s">
        <v>114</v>
      </c>
      <c r="R152" s="233" t="s">
        <v>105</v>
      </c>
      <c r="S152" s="233" t="s">
        <v>105</v>
      </c>
      <c r="T152" s="213" t="s">
        <v>105</v>
      </c>
      <c r="U152" s="233">
        <v>45264</v>
      </c>
      <c r="V152" s="213" t="s">
        <v>105</v>
      </c>
      <c r="W152" s="233">
        <v>45265</v>
      </c>
      <c r="X152" s="233">
        <v>45275</v>
      </c>
      <c r="Y152" s="236" t="s">
        <v>220</v>
      </c>
      <c r="Z152" s="236"/>
      <c r="AA152" s="232"/>
      <c r="AB152" s="219" t="s">
        <v>384</v>
      </c>
      <c r="AC152" s="219" t="s">
        <v>851</v>
      </c>
      <c r="AD152" s="219" t="s">
        <v>385</v>
      </c>
      <c r="AE152" s="210" t="s">
        <v>547</v>
      </c>
      <c r="AF152" s="214" t="s">
        <v>24</v>
      </c>
      <c r="AG152" s="230">
        <v>0</v>
      </c>
      <c r="AH152" s="230">
        <v>0</v>
      </c>
      <c r="AI152" s="232" t="s">
        <v>852</v>
      </c>
      <c r="AJ152" s="230" t="s">
        <v>104</v>
      </c>
      <c r="AK152" s="214" t="s">
        <v>24</v>
      </c>
      <c r="AL152" s="214" t="s">
        <v>24</v>
      </c>
      <c r="AM152" s="214" t="s">
        <v>24</v>
      </c>
      <c r="AN152" s="214" t="s">
        <v>24</v>
      </c>
      <c r="AO152" s="232" t="s">
        <v>852</v>
      </c>
      <c r="AP152" s="230" t="s">
        <v>24</v>
      </c>
      <c r="AQ152" s="214" t="s">
        <v>24</v>
      </c>
      <c r="AR152" s="214" t="s">
        <v>24</v>
      </c>
      <c r="AS152" s="214" t="s">
        <v>24</v>
      </c>
      <c r="AT152" s="214" t="s">
        <v>24</v>
      </c>
      <c r="AU152" s="214" t="s">
        <v>24</v>
      </c>
      <c r="AV152" s="214" t="s">
        <v>24</v>
      </c>
      <c r="AW152" s="214" t="s">
        <v>24</v>
      </c>
      <c r="AX152" s="214" t="s">
        <v>24</v>
      </c>
      <c r="AY152" s="214" t="s">
        <v>24</v>
      </c>
      <c r="AZ152" s="235" t="s">
        <v>220</v>
      </c>
      <c r="BA152" s="235" t="s">
        <v>502</v>
      </c>
      <c r="BB152" s="232" t="s">
        <v>105</v>
      </c>
      <c r="BC152" s="218" t="s">
        <v>24</v>
      </c>
      <c r="BD152" s="210" t="str">
        <f t="shared" si="13"/>
        <v>INDENIZAÇÃO</v>
      </c>
      <c r="BE152" s="210" t="str">
        <f t="shared" si="14"/>
        <v>NÃO</v>
      </c>
      <c r="BF152" s="214" t="s">
        <v>24</v>
      </c>
      <c r="BG152" s="214" t="s">
        <v>24</v>
      </c>
      <c r="BH152" s="214" t="s">
        <v>24</v>
      </c>
      <c r="BI152" s="214" t="s">
        <v>24</v>
      </c>
      <c r="BJ152" s="214" t="s">
        <v>24</v>
      </c>
      <c r="BK152" s="210" t="s">
        <v>24</v>
      </c>
      <c r="BL152" s="214" t="s">
        <v>24</v>
      </c>
      <c r="BM152" s="251" t="s">
        <v>105</v>
      </c>
      <c r="BN152" s="232"/>
      <c r="BO152" s="232"/>
      <c r="BP152" s="232"/>
      <c r="BQ152" s="232"/>
      <c r="BR152" s="232"/>
      <c r="BS152" s="232"/>
      <c r="BT152" s="232"/>
      <c r="BU152" s="232"/>
      <c r="BV152" s="232"/>
      <c r="BW152" s="232"/>
      <c r="BX152" s="232"/>
      <c r="BY152" s="232"/>
    </row>
    <row r="153" spans="1:162" s="260" customFormat="1" ht="35.25" hidden="1" customHeight="1" x14ac:dyDescent="0.25">
      <c r="A153" s="210">
        <v>140</v>
      </c>
      <c r="B153" s="210" t="s">
        <v>99</v>
      </c>
      <c r="C153" s="210">
        <v>2</v>
      </c>
      <c r="D153" s="210">
        <v>0</v>
      </c>
      <c r="E153" s="210">
        <v>0</v>
      </c>
      <c r="F153" s="278" t="s">
        <v>853</v>
      </c>
      <c r="G153" s="210" t="s">
        <v>1</v>
      </c>
      <c r="H153" s="210" t="s">
        <v>366</v>
      </c>
      <c r="I153" s="210" t="s">
        <v>121</v>
      </c>
      <c r="J153" s="219" t="s">
        <v>381</v>
      </c>
      <c r="K153" s="219" t="s">
        <v>382</v>
      </c>
      <c r="L153" s="219" t="s">
        <v>383</v>
      </c>
      <c r="M153" s="232" t="s">
        <v>4</v>
      </c>
      <c r="N153" s="232" t="s">
        <v>312</v>
      </c>
      <c r="O153" s="213">
        <v>45019</v>
      </c>
      <c r="P153" s="233" t="s">
        <v>24</v>
      </c>
      <c r="Q153" s="233" t="s">
        <v>24</v>
      </c>
      <c r="R153" s="233" t="s">
        <v>24</v>
      </c>
      <c r="S153" s="233" t="s">
        <v>24</v>
      </c>
      <c r="T153" s="233" t="s">
        <v>24</v>
      </c>
      <c r="U153" s="233" t="s">
        <v>24</v>
      </c>
      <c r="V153" s="233" t="s">
        <v>24</v>
      </c>
      <c r="W153" s="233" t="s">
        <v>24</v>
      </c>
      <c r="X153" s="233" t="s">
        <v>24</v>
      </c>
      <c r="Y153" s="233" t="s">
        <v>24</v>
      </c>
      <c r="Z153" s="233" t="s">
        <v>24</v>
      </c>
      <c r="AA153" s="232"/>
      <c r="AB153" s="219" t="s">
        <v>384</v>
      </c>
      <c r="AC153" s="219" t="s">
        <v>851</v>
      </c>
      <c r="AD153" s="219" t="s">
        <v>385</v>
      </c>
      <c r="AE153" s="210" t="s">
        <v>547</v>
      </c>
      <c r="AF153" s="214" t="s">
        <v>24</v>
      </c>
      <c r="AG153" s="230">
        <v>0</v>
      </c>
      <c r="AH153" s="230">
        <v>0</v>
      </c>
      <c r="AI153" s="232" t="s">
        <v>852</v>
      </c>
      <c r="AJ153" s="230" t="s">
        <v>104</v>
      </c>
      <c r="AK153" s="214" t="s">
        <v>24</v>
      </c>
      <c r="AL153" s="214" t="s">
        <v>24</v>
      </c>
      <c r="AM153" s="214" t="s">
        <v>24</v>
      </c>
      <c r="AN153" s="214" t="s">
        <v>24</v>
      </c>
      <c r="AO153" s="232" t="s">
        <v>852</v>
      </c>
      <c r="AP153" s="230" t="s">
        <v>24</v>
      </c>
      <c r="AQ153" s="214" t="s">
        <v>24</v>
      </c>
      <c r="AR153" s="214" t="s">
        <v>24</v>
      </c>
      <c r="AS153" s="214" t="s">
        <v>24</v>
      </c>
      <c r="AT153" s="214" t="s">
        <v>24</v>
      </c>
      <c r="AU153" s="214" t="s">
        <v>24</v>
      </c>
      <c r="AV153" s="214" t="s">
        <v>24</v>
      </c>
      <c r="AW153" s="214" t="s">
        <v>24</v>
      </c>
      <c r="AX153" s="214" t="s">
        <v>24</v>
      </c>
      <c r="AY153" s="214" t="s">
        <v>24</v>
      </c>
      <c r="AZ153" s="235" t="s">
        <v>220</v>
      </c>
      <c r="BA153" s="235" t="s">
        <v>502</v>
      </c>
      <c r="BB153" s="232" t="s">
        <v>105</v>
      </c>
      <c r="BC153" s="218" t="s">
        <v>24</v>
      </c>
      <c r="BD153" s="210" t="str">
        <f t="shared" si="13"/>
        <v>INDENIZAÇÃO</v>
      </c>
      <c r="BE153" s="210" t="str">
        <f t="shared" si="14"/>
        <v>NÃO</v>
      </c>
      <c r="BF153" s="214" t="s">
        <v>24</v>
      </c>
      <c r="BG153" s="214" t="s">
        <v>24</v>
      </c>
      <c r="BH153" s="214" t="s">
        <v>24</v>
      </c>
      <c r="BI153" s="214" t="s">
        <v>24</v>
      </c>
      <c r="BJ153" s="214" t="s">
        <v>24</v>
      </c>
      <c r="BK153" s="210" t="s">
        <v>24</v>
      </c>
      <c r="BL153" s="214" t="s">
        <v>24</v>
      </c>
      <c r="BM153" s="251" t="s">
        <v>105</v>
      </c>
      <c r="BN153" s="232"/>
      <c r="BO153" s="232"/>
      <c r="BP153" s="232"/>
      <c r="BQ153" s="232"/>
      <c r="BR153" s="232"/>
      <c r="BS153" s="232"/>
      <c r="BT153" s="232"/>
      <c r="BU153" s="232"/>
      <c r="BV153" s="232"/>
      <c r="BW153" s="232"/>
      <c r="BX153" s="232"/>
      <c r="BY153" s="232"/>
      <c r="BZ153" s="195"/>
      <c r="CA153" s="195"/>
      <c r="CB153" s="195"/>
      <c r="CC153" s="195"/>
      <c r="CD153" s="195"/>
      <c r="CE153" s="195"/>
      <c r="CF153" s="195"/>
      <c r="CG153" s="195"/>
      <c r="CH153" s="195"/>
      <c r="CI153" s="195"/>
      <c r="CJ153" s="195"/>
      <c r="CK153" s="195"/>
      <c r="CL153" s="195"/>
      <c r="CM153" s="195"/>
      <c r="CN153" s="195"/>
      <c r="CO153" s="195"/>
      <c r="CP153" s="195"/>
      <c r="CQ153" s="195"/>
      <c r="CR153" s="195"/>
      <c r="CS153" s="195"/>
      <c r="CT153" s="195"/>
      <c r="CU153" s="195"/>
      <c r="CV153" s="195"/>
      <c r="CW153" s="195"/>
      <c r="CX153" s="195"/>
      <c r="CY153" s="195"/>
      <c r="CZ153" s="195"/>
      <c r="DA153" s="195"/>
      <c r="DB153" s="195"/>
      <c r="DC153" s="195"/>
      <c r="DD153" s="195"/>
      <c r="DE153" s="195"/>
      <c r="DF153" s="195"/>
      <c r="DG153" s="195"/>
      <c r="DH153" s="195"/>
      <c r="DI153" s="195"/>
      <c r="DJ153" s="195"/>
      <c r="DK153" s="195"/>
      <c r="DL153" s="195"/>
      <c r="DM153" s="195"/>
      <c r="DN153" s="195"/>
      <c r="DO153" s="195"/>
      <c r="DP153" s="195"/>
      <c r="DQ153" s="195"/>
      <c r="DR153" s="195"/>
      <c r="DS153" s="195"/>
      <c r="DT153" s="195"/>
      <c r="DU153" s="195"/>
      <c r="DV153" s="195"/>
      <c r="DW153" s="195"/>
      <c r="DX153" s="195"/>
      <c r="DY153" s="195"/>
      <c r="DZ153" s="195"/>
      <c r="EA153" s="195"/>
      <c r="EB153" s="195"/>
      <c r="EC153" s="195"/>
      <c r="ED153" s="195"/>
      <c r="EE153" s="195"/>
      <c r="EF153" s="195"/>
      <c r="EG153" s="195"/>
      <c r="EH153" s="195"/>
      <c r="EI153" s="195"/>
      <c r="EJ153" s="195"/>
      <c r="EK153" s="195"/>
      <c r="EL153" s="195"/>
      <c r="EM153" s="195"/>
      <c r="EN153" s="195"/>
      <c r="EO153" s="195"/>
      <c r="EP153" s="195"/>
      <c r="EQ153" s="195"/>
      <c r="ER153" s="195"/>
      <c r="ES153" s="195"/>
      <c r="ET153" s="195"/>
      <c r="EU153" s="195"/>
      <c r="EV153" s="195"/>
      <c r="EW153" s="195"/>
      <c r="EX153" s="195"/>
      <c r="EY153" s="195"/>
      <c r="EZ153" s="195"/>
      <c r="FA153" s="195"/>
      <c r="FB153" s="195"/>
      <c r="FC153" s="195"/>
      <c r="FD153" s="195"/>
      <c r="FE153" s="195"/>
      <c r="FF153" s="195"/>
    </row>
    <row r="154" spans="1:162" ht="35.25" customHeight="1" x14ac:dyDescent="0.25">
      <c r="A154" s="210">
        <v>141</v>
      </c>
      <c r="B154" s="210" t="s">
        <v>99</v>
      </c>
      <c r="C154" s="210">
        <v>2</v>
      </c>
      <c r="D154" s="210">
        <v>0</v>
      </c>
      <c r="E154" s="210">
        <v>0</v>
      </c>
      <c r="F154" s="219" t="s">
        <v>854</v>
      </c>
      <c r="G154" s="210" t="s">
        <v>1</v>
      </c>
      <c r="H154" s="210" t="s">
        <v>2</v>
      </c>
      <c r="I154" s="210" t="s">
        <v>121</v>
      </c>
      <c r="J154" s="219" t="s">
        <v>381</v>
      </c>
      <c r="K154" s="219" t="s">
        <v>382</v>
      </c>
      <c r="L154" s="219" t="s">
        <v>383</v>
      </c>
      <c r="M154" s="232" t="s">
        <v>4</v>
      </c>
      <c r="N154" s="232" t="s">
        <v>14</v>
      </c>
      <c r="O154" s="213">
        <v>45019</v>
      </c>
      <c r="P154" s="233">
        <v>45238</v>
      </c>
      <c r="Q154" s="213" t="s">
        <v>114</v>
      </c>
      <c r="R154" s="233" t="s">
        <v>105</v>
      </c>
      <c r="S154" s="233" t="s">
        <v>105</v>
      </c>
      <c r="T154" s="213" t="s">
        <v>105</v>
      </c>
      <c r="U154" s="251">
        <v>45264</v>
      </c>
      <c r="V154" s="213" t="s">
        <v>105</v>
      </c>
      <c r="W154" s="233">
        <v>45265</v>
      </c>
      <c r="X154" s="233">
        <v>45275</v>
      </c>
      <c r="Y154" s="233">
        <v>45280</v>
      </c>
      <c r="Z154" s="236"/>
      <c r="AA154" s="232"/>
      <c r="AB154" s="219" t="s">
        <v>384</v>
      </c>
      <c r="AC154" s="219" t="s">
        <v>851</v>
      </c>
      <c r="AD154" s="219" t="s">
        <v>385</v>
      </c>
      <c r="AE154" s="210" t="s">
        <v>547</v>
      </c>
      <c r="AF154" s="232" t="s">
        <v>4</v>
      </c>
      <c r="AG154" s="230">
        <v>0</v>
      </c>
      <c r="AH154" s="230">
        <v>60000</v>
      </c>
      <c r="AI154" s="232" t="s">
        <v>6</v>
      </c>
      <c r="AJ154" s="230" t="s">
        <v>104</v>
      </c>
      <c r="AK154" s="232" t="s">
        <v>105</v>
      </c>
      <c r="AL154" s="232" t="s">
        <v>105</v>
      </c>
      <c r="AM154" s="232" t="s">
        <v>105</v>
      </c>
      <c r="AN154" s="232" t="s">
        <v>106</v>
      </c>
      <c r="AO154" s="232"/>
      <c r="AP154" s="234" t="s">
        <v>855</v>
      </c>
      <c r="AQ154" s="232" t="s">
        <v>105</v>
      </c>
      <c r="AR154" s="232" t="s">
        <v>105</v>
      </c>
      <c r="AS154" s="232" t="s">
        <v>105</v>
      </c>
      <c r="AT154" s="232" t="s">
        <v>105</v>
      </c>
      <c r="AU154" s="233">
        <v>45278</v>
      </c>
      <c r="AV154" s="232" t="s">
        <v>105</v>
      </c>
      <c r="AW154" s="228" t="s">
        <v>105</v>
      </c>
      <c r="AX154" s="229">
        <v>45295</v>
      </c>
      <c r="AY154" s="236">
        <v>45300</v>
      </c>
      <c r="AZ154" s="235" t="s">
        <v>220</v>
      </c>
      <c r="BA154" s="235" t="s">
        <v>502</v>
      </c>
      <c r="BB154" s="217" t="s">
        <v>105</v>
      </c>
      <c r="BC154" s="218">
        <f>IF(AY154-ON154=0,"",AY154-O154)</f>
        <v>281</v>
      </c>
      <c r="BD154" s="210" t="str">
        <f t="shared" si="13"/>
        <v>INDENIZAÇÃO</v>
      </c>
      <c r="BE154" s="210" t="str">
        <f t="shared" si="14"/>
        <v>NÃO</v>
      </c>
      <c r="BF154" s="210" t="s">
        <v>24</v>
      </c>
      <c r="BG154" s="210" t="s">
        <v>24</v>
      </c>
      <c r="BH154" s="210" t="s">
        <v>24</v>
      </c>
      <c r="BI154" s="210" t="s">
        <v>105</v>
      </c>
      <c r="BJ154" s="210" t="s">
        <v>105</v>
      </c>
      <c r="BK154" s="213">
        <v>45510</v>
      </c>
      <c r="BL154" s="210" t="s">
        <v>105</v>
      </c>
      <c r="BM154" s="266" t="s">
        <v>105</v>
      </c>
      <c r="BN154" s="232"/>
      <c r="BO154" s="232"/>
      <c r="BP154" s="232"/>
      <c r="BQ154" s="232"/>
      <c r="BR154" s="232"/>
      <c r="BS154" s="232"/>
      <c r="BT154" s="232"/>
      <c r="BU154" s="232"/>
      <c r="BV154" s="232"/>
      <c r="BW154" s="232"/>
      <c r="BX154" s="232"/>
      <c r="BY154" s="232"/>
    </row>
    <row r="155" spans="1:162" ht="35.25" customHeight="1" x14ac:dyDescent="0.25">
      <c r="A155" s="210">
        <v>142</v>
      </c>
      <c r="B155" s="210" t="s">
        <v>99</v>
      </c>
      <c r="C155" s="210">
        <v>2</v>
      </c>
      <c r="D155" s="210">
        <v>0</v>
      </c>
      <c r="E155" s="210">
        <v>0</v>
      </c>
      <c r="F155" s="219" t="s">
        <v>856</v>
      </c>
      <c r="G155" s="220" t="s">
        <v>1</v>
      </c>
      <c r="H155" s="220" t="s">
        <v>2</v>
      </c>
      <c r="I155" s="210" t="s">
        <v>12</v>
      </c>
      <c r="J155" s="219" t="s">
        <v>857</v>
      </c>
      <c r="K155" s="219" t="s">
        <v>858</v>
      </c>
      <c r="L155" s="219" t="s">
        <v>859</v>
      </c>
      <c r="M155" s="232" t="s">
        <v>4</v>
      </c>
      <c r="N155" s="232" t="s">
        <v>5</v>
      </c>
      <c r="O155" s="213">
        <v>45019</v>
      </c>
      <c r="P155" s="233" t="s">
        <v>24</v>
      </c>
      <c r="Q155" s="233" t="s">
        <v>24</v>
      </c>
      <c r="R155" s="233" t="s">
        <v>24</v>
      </c>
      <c r="S155" s="233" t="s">
        <v>24</v>
      </c>
      <c r="T155" s="213" t="s">
        <v>105</v>
      </c>
      <c r="U155" s="233" t="s">
        <v>24</v>
      </c>
      <c r="V155" s="233" t="s">
        <v>24</v>
      </c>
      <c r="W155" s="233" t="s">
        <v>24</v>
      </c>
      <c r="X155" s="233" t="s">
        <v>24</v>
      </c>
      <c r="Y155" s="233" t="s">
        <v>24</v>
      </c>
      <c r="Z155" s="233" t="s">
        <v>24</v>
      </c>
      <c r="AA155" s="232"/>
      <c r="AB155" s="219" t="s">
        <v>857</v>
      </c>
      <c r="AC155" s="219" t="s">
        <v>858</v>
      </c>
      <c r="AD155" s="219" t="s">
        <v>859</v>
      </c>
      <c r="AE155" s="220" t="s">
        <v>12</v>
      </c>
      <c r="AF155" s="232" t="s">
        <v>4</v>
      </c>
      <c r="AG155" s="230">
        <f>AH155-30000</f>
        <v>1000</v>
      </c>
      <c r="AH155" s="230">
        <v>31000</v>
      </c>
      <c r="AI155" s="232" t="s">
        <v>6</v>
      </c>
      <c r="AJ155" s="230" t="s">
        <v>104</v>
      </c>
      <c r="AK155" s="232" t="s">
        <v>105</v>
      </c>
      <c r="AL155" s="232" t="s">
        <v>105</v>
      </c>
      <c r="AM155" s="232" t="s">
        <v>105</v>
      </c>
      <c r="AN155" s="232" t="s">
        <v>106</v>
      </c>
      <c r="AO155" s="232"/>
      <c r="AP155" s="234" t="s">
        <v>860</v>
      </c>
      <c r="AQ155" s="232" t="s">
        <v>105</v>
      </c>
      <c r="AR155" s="232" t="s">
        <v>105</v>
      </c>
      <c r="AS155" s="232" t="s">
        <v>105</v>
      </c>
      <c r="AT155" s="232" t="s">
        <v>105</v>
      </c>
      <c r="AU155" s="233">
        <v>45278</v>
      </c>
      <c r="AV155" s="232" t="s">
        <v>105</v>
      </c>
      <c r="AW155" s="228" t="s">
        <v>105</v>
      </c>
      <c r="AX155" s="229">
        <v>45294</v>
      </c>
      <c r="AY155" s="236">
        <v>45300</v>
      </c>
      <c r="AZ155" s="235" t="s">
        <v>220</v>
      </c>
      <c r="BA155" s="235" t="s">
        <v>502</v>
      </c>
      <c r="BB155" s="217" t="s">
        <v>105</v>
      </c>
      <c r="BC155" s="218">
        <f>IF(AY155-ON155=0,"",AY155-O155)</f>
        <v>281</v>
      </c>
      <c r="BD155" s="210" t="str">
        <f t="shared" ref="BD155:BD186" si="15">IF(AND(AI155&lt;&gt;"SIM",AI155="UH"),"AA","INDENIZAÇÃO")</f>
        <v>INDENIZAÇÃO</v>
      </c>
      <c r="BE155" s="210" t="str">
        <f t="shared" si="14"/>
        <v>NÃO</v>
      </c>
      <c r="BF155" s="210" t="s">
        <v>24</v>
      </c>
      <c r="BG155" s="210" t="s">
        <v>24</v>
      </c>
      <c r="BH155" s="210" t="s">
        <v>24</v>
      </c>
      <c r="BI155" s="210" t="s">
        <v>105</v>
      </c>
      <c r="BJ155" s="210" t="s">
        <v>105</v>
      </c>
      <c r="BK155" s="213">
        <v>45510</v>
      </c>
      <c r="BL155" s="210" t="s">
        <v>105</v>
      </c>
      <c r="BM155" s="266" t="s">
        <v>105</v>
      </c>
      <c r="BN155" s="232"/>
      <c r="BO155" s="232"/>
      <c r="BP155" s="232"/>
      <c r="BQ155" s="232"/>
      <c r="BR155" s="232"/>
      <c r="BS155" s="232"/>
      <c r="BT155" s="232"/>
      <c r="BU155" s="232"/>
      <c r="BV155" s="232"/>
      <c r="BW155" s="232"/>
      <c r="BX155" s="232"/>
      <c r="BY155" s="232"/>
    </row>
    <row r="156" spans="1:162" ht="35.25" customHeight="1" x14ac:dyDescent="0.25">
      <c r="A156" s="210">
        <v>143</v>
      </c>
      <c r="B156" s="210" t="s">
        <v>99</v>
      </c>
      <c r="C156" s="210">
        <v>2</v>
      </c>
      <c r="D156" s="210">
        <v>0</v>
      </c>
      <c r="E156" s="210">
        <v>0</v>
      </c>
      <c r="F156" s="219" t="s">
        <v>861</v>
      </c>
      <c r="G156" s="279" t="s">
        <v>10</v>
      </c>
      <c r="H156" s="279" t="s">
        <v>2</v>
      </c>
      <c r="I156" s="220" t="s">
        <v>3</v>
      </c>
      <c r="J156" s="219" t="s">
        <v>862</v>
      </c>
      <c r="K156" s="219" t="s">
        <v>863</v>
      </c>
      <c r="L156" s="219" t="s">
        <v>864</v>
      </c>
      <c r="M156" s="232" t="s">
        <v>4</v>
      </c>
      <c r="N156" s="232" t="s">
        <v>5</v>
      </c>
      <c r="O156" s="213">
        <v>45470</v>
      </c>
      <c r="P156" s="233" t="s">
        <v>24</v>
      </c>
      <c r="Q156" s="233" t="s">
        <v>24</v>
      </c>
      <c r="R156" s="233" t="s">
        <v>24</v>
      </c>
      <c r="S156" s="233" t="s">
        <v>24</v>
      </c>
      <c r="T156" s="233" t="s">
        <v>24</v>
      </c>
      <c r="U156" s="233" t="s">
        <v>24</v>
      </c>
      <c r="V156" s="233" t="s">
        <v>24</v>
      </c>
      <c r="W156" s="233" t="s">
        <v>24</v>
      </c>
      <c r="X156" s="233" t="s">
        <v>24</v>
      </c>
      <c r="Y156" s="233" t="s">
        <v>24</v>
      </c>
      <c r="Z156" s="233" t="s">
        <v>24</v>
      </c>
      <c r="AA156" s="232"/>
      <c r="AB156" s="219" t="s">
        <v>862</v>
      </c>
      <c r="AC156" s="219" t="s">
        <v>863</v>
      </c>
      <c r="AD156" s="219" t="s">
        <v>864</v>
      </c>
      <c r="AE156" s="210" t="s">
        <v>547</v>
      </c>
      <c r="AF156" s="232" t="s">
        <v>4</v>
      </c>
      <c r="AG156" s="230">
        <v>11438.96</v>
      </c>
      <c r="AH156" s="230">
        <f>AG156+30000</f>
        <v>41438.959999999999</v>
      </c>
      <c r="AI156" s="232" t="s">
        <v>6</v>
      </c>
      <c r="AJ156" s="230" t="s">
        <v>104</v>
      </c>
      <c r="AK156" s="232" t="s">
        <v>105</v>
      </c>
      <c r="AL156" s="210" t="s">
        <v>105</v>
      </c>
      <c r="AM156" s="210" t="s">
        <v>105</v>
      </c>
      <c r="AN156" s="210" t="s">
        <v>106</v>
      </c>
      <c r="AO156" s="232" t="s">
        <v>865</v>
      </c>
      <c r="AP156" s="234" t="s">
        <v>866</v>
      </c>
      <c r="AQ156" s="232" t="s">
        <v>105</v>
      </c>
      <c r="AR156" s="232" t="s">
        <v>105</v>
      </c>
      <c r="AS156" s="210" t="s">
        <v>105</v>
      </c>
      <c r="AT156" s="210" t="s">
        <v>105</v>
      </c>
      <c r="AU156" s="213">
        <v>45537</v>
      </c>
      <c r="AV156" s="210" t="s">
        <v>105</v>
      </c>
      <c r="AW156" s="210" t="s">
        <v>105</v>
      </c>
      <c r="AX156" s="213">
        <v>45544</v>
      </c>
      <c r="AY156" s="221">
        <v>45544</v>
      </c>
      <c r="AZ156" s="221" t="s">
        <v>220</v>
      </c>
      <c r="BA156" s="235" t="s">
        <v>502</v>
      </c>
      <c r="BB156" s="217" t="s">
        <v>105</v>
      </c>
      <c r="BC156" s="218">
        <f>IF(AY156-ON156=0,"",AY156-O156)</f>
        <v>74</v>
      </c>
      <c r="BD156" s="210" t="str">
        <f t="shared" si="15"/>
        <v>INDENIZAÇÃO</v>
      </c>
      <c r="BE156" s="210" t="str">
        <f t="shared" si="14"/>
        <v>NÃO</v>
      </c>
      <c r="BF156" s="210" t="s">
        <v>24</v>
      </c>
      <c r="BG156" s="210" t="s">
        <v>24</v>
      </c>
      <c r="BH156" s="210" t="s">
        <v>24</v>
      </c>
      <c r="BI156" s="210" t="s">
        <v>105</v>
      </c>
      <c r="BJ156" s="210" t="s">
        <v>105</v>
      </c>
      <c r="BK156" s="213">
        <v>45621</v>
      </c>
      <c r="BL156" s="210" t="s">
        <v>105</v>
      </c>
      <c r="BM156" s="241" t="s">
        <v>220</v>
      </c>
      <c r="BN156" s="232"/>
      <c r="BO156" s="232"/>
      <c r="BP156" s="232"/>
      <c r="BQ156" s="232"/>
      <c r="BR156" s="232"/>
      <c r="BS156" s="232"/>
      <c r="BT156" s="232"/>
      <c r="BU156" s="232"/>
      <c r="BV156" s="232"/>
      <c r="BW156" s="232"/>
      <c r="BX156" s="232"/>
      <c r="BY156" s="232"/>
    </row>
    <row r="157" spans="1:162" ht="35.25" customHeight="1" x14ac:dyDescent="0.25">
      <c r="A157" s="210">
        <v>144</v>
      </c>
      <c r="B157" s="210" t="s">
        <v>99</v>
      </c>
      <c r="C157" s="210">
        <v>2</v>
      </c>
      <c r="D157" s="210">
        <v>0</v>
      </c>
      <c r="E157" s="210">
        <v>0</v>
      </c>
      <c r="F157" s="215" t="s">
        <v>867</v>
      </c>
      <c r="G157" s="228" t="s">
        <v>1</v>
      </c>
      <c r="H157" s="228" t="s">
        <v>2</v>
      </c>
      <c r="I157" s="228" t="s">
        <v>121</v>
      </c>
      <c r="J157" s="215" t="s">
        <v>868</v>
      </c>
      <c r="K157" s="215" t="s">
        <v>869</v>
      </c>
      <c r="L157" s="215" t="s">
        <v>870</v>
      </c>
      <c r="M157" s="250" t="s">
        <v>4</v>
      </c>
      <c r="N157" s="250" t="s">
        <v>871</v>
      </c>
      <c r="O157" s="213">
        <v>45019</v>
      </c>
      <c r="P157" s="251">
        <v>45289</v>
      </c>
      <c r="Q157" s="251" t="s">
        <v>114</v>
      </c>
      <c r="R157" s="251" t="s">
        <v>105</v>
      </c>
      <c r="S157" s="251" t="s">
        <v>105</v>
      </c>
      <c r="T157" s="213" t="s">
        <v>105</v>
      </c>
      <c r="U157" s="251">
        <v>45330</v>
      </c>
      <c r="V157" s="251" t="s">
        <v>105</v>
      </c>
      <c r="W157" s="251">
        <v>45334</v>
      </c>
      <c r="X157" s="251">
        <v>45352</v>
      </c>
      <c r="Y157" s="251">
        <v>45352</v>
      </c>
      <c r="Z157" s="236"/>
      <c r="AA157" s="250"/>
      <c r="AB157" s="215" t="s">
        <v>872</v>
      </c>
      <c r="AC157" s="215" t="s">
        <v>873</v>
      </c>
      <c r="AD157" s="215" t="s">
        <v>874</v>
      </c>
      <c r="AE157" s="228" t="s">
        <v>547</v>
      </c>
      <c r="AF157" s="250" t="s">
        <v>4</v>
      </c>
      <c r="AG157" s="293">
        <v>0</v>
      </c>
      <c r="AH157" s="293">
        <v>60000</v>
      </c>
      <c r="AI157" s="232" t="s">
        <v>6</v>
      </c>
      <c r="AJ157" s="230" t="s">
        <v>104</v>
      </c>
      <c r="AK157" s="250" t="s">
        <v>105</v>
      </c>
      <c r="AL157" s="232" t="s">
        <v>105</v>
      </c>
      <c r="AM157" s="250" t="s">
        <v>105</v>
      </c>
      <c r="AN157" s="232" t="s">
        <v>106</v>
      </c>
      <c r="AO157" s="250"/>
      <c r="AP157" s="249" t="s">
        <v>875</v>
      </c>
      <c r="AQ157" s="250" t="s">
        <v>105</v>
      </c>
      <c r="AR157" s="250" t="s">
        <v>105</v>
      </c>
      <c r="AS157" s="232" t="s">
        <v>105</v>
      </c>
      <c r="AT157" s="228" t="s">
        <v>105</v>
      </c>
      <c r="AU157" s="229">
        <v>45286</v>
      </c>
      <c r="AV157" s="228" t="s">
        <v>105</v>
      </c>
      <c r="AW157" s="228" t="s">
        <v>105</v>
      </c>
      <c r="AX157" s="229">
        <v>45294</v>
      </c>
      <c r="AY157" s="236">
        <v>45300</v>
      </c>
      <c r="AZ157" s="235" t="s">
        <v>220</v>
      </c>
      <c r="BA157" s="235" t="s">
        <v>502</v>
      </c>
      <c r="BB157" s="217" t="s">
        <v>105</v>
      </c>
      <c r="BC157" s="218">
        <f>IF(AY157-ON157=0,"",AY157-O157)</f>
        <v>281</v>
      </c>
      <c r="BD157" s="210" t="str">
        <f t="shared" si="15"/>
        <v>INDENIZAÇÃO</v>
      </c>
      <c r="BE157" s="210" t="str">
        <f t="shared" si="14"/>
        <v>NÃO</v>
      </c>
      <c r="BF157" s="210" t="s">
        <v>24</v>
      </c>
      <c r="BG157" s="210" t="s">
        <v>24</v>
      </c>
      <c r="BH157" s="210" t="s">
        <v>24</v>
      </c>
      <c r="BI157" s="210" t="s">
        <v>105</v>
      </c>
      <c r="BJ157" s="210" t="s">
        <v>105</v>
      </c>
      <c r="BK157" s="213">
        <v>45510</v>
      </c>
      <c r="BL157" s="210" t="s">
        <v>105</v>
      </c>
      <c r="BM157" s="266" t="s">
        <v>105</v>
      </c>
      <c r="BN157" s="232"/>
      <c r="BO157" s="232"/>
      <c r="BP157" s="232"/>
      <c r="BQ157" s="232"/>
      <c r="BR157" s="232"/>
      <c r="BS157" s="232"/>
      <c r="BT157" s="232"/>
      <c r="BU157" s="232"/>
      <c r="BV157" s="232"/>
      <c r="BW157" s="232"/>
      <c r="BX157" s="232"/>
      <c r="BY157" s="232"/>
    </row>
    <row r="158" spans="1:162" ht="35.25" hidden="1" customHeight="1" x14ac:dyDescent="0.25">
      <c r="A158" s="210">
        <v>145</v>
      </c>
      <c r="B158" s="210" t="s">
        <v>99</v>
      </c>
      <c r="C158" s="210">
        <v>2</v>
      </c>
      <c r="D158" s="210">
        <v>0</v>
      </c>
      <c r="E158" s="210">
        <v>0</v>
      </c>
      <c r="F158" s="219" t="s">
        <v>876</v>
      </c>
      <c r="G158" s="210" t="s">
        <v>1</v>
      </c>
      <c r="H158" s="210" t="s">
        <v>2</v>
      </c>
      <c r="I158" s="210" t="s">
        <v>121</v>
      </c>
      <c r="J158" s="219" t="s">
        <v>877</v>
      </c>
      <c r="K158" s="219" t="s">
        <v>878</v>
      </c>
      <c r="L158" s="219" t="s">
        <v>879</v>
      </c>
      <c r="M158" s="250" t="s">
        <v>4</v>
      </c>
      <c r="N158" s="250" t="s">
        <v>871</v>
      </c>
      <c r="O158" s="213">
        <v>45019</v>
      </c>
      <c r="P158" s="251">
        <v>45289</v>
      </c>
      <c r="Q158" s="251" t="s">
        <v>114</v>
      </c>
      <c r="R158" s="251" t="s">
        <v>105</v>
      </c>
      <c r="S158" s="251" t="s">
        <v>105</v>
      </c>
      <c r="T158" s="213" t="s">
        <v>105</v>
      </c>
      <c r="U158" s="251">
        <v>45330</v>
      </c>
      <c r="V158" s="251" t="s">
        <v>105</v>
      </c>
      <c r="W158" s="251">
        <v>45334</v>
      </c>
      <c r="X158" s="251">
        <v>45352</v>
      </c>
      <c r="Y158" s="236" t="s">
        <v>220</v>
      </c>
      <c r="Z158" s="236"/>
      <c r="AA158" s="232"/>
      <c r="AB158" s="219" t="s">
        <v>872</v>
      </c>
      <c r="AC158" s="219" t="s">
        <v>873</v>
      </c>
      <c r="AD158" s="219" t="s">
        <v>874</v>
      </c>
      <c r="AE158" s="210" t="s">
        <v>547</v>
      </c>
      <c r="AF158" s="232" t="s">
        <v>4</v>
      </c>
      <c r="AG158" s="230">
        <v>0</v>
      </c>
      <c r="AH158" s="230">
        <v>0</v>
      </c>
      <c r="AI158" s="232" t="s">
        <v>880</v>
      </c>
      <c r="AJ158" s="230" t="s">
        <v>104</v>
      </c>
      <c r="AK158" s="232" t="s">
        <v>105</v>
      </c>
      <c r="AL158" s="232" t="s">
        <v>24</v>
      </c>
      <c r="AM158" s="232" t="s">
        <v>24</v>
      </c>
      <c r="AN158" s="232" t="s">
        <v>24</v>
      </c>
      <c r="AO158" s="232" t="s">
        <v>880</v>
      </c>
      <c r="AP158" s="234" t="s">
        <v>24</v>
      </c>
      <c r="AQ158" s="232" t="s">
        <v>24</v>
      </c>
      <c r="AR158" s="232" t="s">
        <v>24</v>
      </c>
      <c r="AS158" s="232" t="s">
        <v>24</v>
      </c>
      <c r="AT158" s="232" t="s">
        <v>24</v>
      </c>
      <c r="AU158" s="232" t="s">
        <v>24</v>
      </c>
      <c r="AV158" s="232" t="s">
        <v>24</v>
      </c>
      <c r="AW158" s="232" t="s">
        <v>24</v>
      </c>
      <c r="AX158" s="232" t="s">
        <v>24</v>
      </c>
      <c r="AY158" s="232" t="s">
        <v>24</v>
      </c>
      <c r="AZ158" s="235" t="s">
        <v>220</v>
      </c>
      <c r="BA158" s="235" t="s">
        <v>502</v>
      </c>
      <c r="BB158" s="217" t="s">
        <v>105</v>
      </c>
      <c r="BC158" s="218" t="s">
        <v>24</v>
      </c>
      <c r="BD158" s="210" t="str">
        <f t="shared" si="15"/>
        <v>INDENIZAÇÃO</v>
      </c>
      <c r="BE158" s="210" t="str">
        <f t="shared" si="14"/>
        <v>NÃO</v>
      </c>
      <c r="BF158" s="210" t="s">
        <v>24</v>
      </c>
      <c r="BG158" s="210" t="s">
        <v>24</v>
      </c>
      <c r="BH158" s="210" t="s">
        <v>24</v>
      </c>
      <c r="BI158" s="210" t="s">
        <v>24</v>
      </c>
      <c r="BJ158" s="210" t="s">
        <v>24</v>
      </c>
      <c r="BK158" s="210" t="s">
        <v>24</v>
      </c>
      <c r="BL158" s="210" t="s">
        <v>24</v>
      </c>
      <c r="BM158" s="251" t="s">
        <v>105</v>
      </c>
      <c r="BN158" s="232"/>
      <c r="BO158" s="232"/>
      <c r="BP158" s="232"/>
      <c r="BQ158" s="232"/>
      <c r="BR158" s="232"/>
      <c r="BS158" s="232"/>
      <c r="BT158" s="232"/>
      <c r="BU158" s="232"/>
      <c r="BV158" s="232"/>
      <c r="BW158" s="232"/>
      <c r="BX158" s="232"/>
      <c r="BY158" s="232"/>
    </row>
    <row r="159" spans="1:162" ht="35.25" customHeight="1" x14ac:dyDescent="0.25">
      <c r="A159" s="210">
        <v>146</v>
      </c>
      <c r="B159" s="210" t="s">
        <v>99</v>
      </c>
      <c r="C159" s="210">
        <v>2</v>
      </c>
      <c r="D159" s="210">
        <v>0</v>
      </c>
      <c r="E159" s="210">
        <v>0</v>
      </c>
      <c r="F159" s="219" t="s">
        <v>881</v>
      </c>
      <c r="G159" s="210" t="s">
        <v>1</v>
      </c>
      <c r="H159" s="210" t="s">
        <v>2</v>
      </c>
      <c r="I159" s="210" t="s">
        <v>121</v>
      </c>
      <c r="J159" s="219" t="s">
        <v>882</v>
      </c>
      <c r="K159" s="219" t="s">
        <v>883</v>
      </c>
      <c r="L159" s="219" t="s">
        <v>884</v>
      </c>
      <c r="M159" s="232" t="s">
        <v>4</v>
      </c>
      <c r="N159" s="232" t="s">
        <v>14</v>
      </c>
      <c r="O159" s="213">
        <v>45019</v>
      </c>
      <c r="P159" s="251">
        <v>45238</v>
      </c>
      <c r="Q159" s="229" t="s">
        <v>114</v>
      </c>
      <c r="R159" s="233" t="s">
        <v>105</v>
      </c>
      <c r="S159" s="233" t="s">
        <v>105</v>
      </c>
      <c r="T159" s="213" t="s">
        <v>105</v>
      </c>
      <c r="U159" s="251">
        <v>45264</v>
      </c>
      <c r="V159" s="213" t="s">
        <v>105</v>
      </c>
      <c r="W159" s="233">
        <v>45265</v>
      </c>
      <c r="X159" s="233">
        <v>45275</v>
      </c>
      <c r="Y159" s="236" t="s">
        <v>220</v>
      </c>
      <c r="Z159" s="236"/>
      <c r="AA159" s="232"/>
      <c r="AB159" s="219" t="s">
        <v>885</v>
      </c>
      <c r="AC159" s="219" t="s">
        <v>886</v>
      </c>
      <c r="AD159" s="219" t="s">
        <v>887</v>
      </c>
      <c r="AE159" s="210" t="s">
        <v>547</v>
      </c>
      <c r="AF159" s="232" t="s">
        <v>4</v>
      </c>
      <c r="AG159" s="230">
        <f>AH159-30000</f>
        <v>13600</v>
      </c>
      <c r="AH159" s="230">
        <v>43600</v>
      </c>
      <c r="AI159" s="232" t="s">
        <v>6</v>
      </c>
      <c r="AJ159" s="230" t="s">
        <v>104</v>
      </c>
      <c r="AK159" s="232" t="s">
        <v>105</v>
      </c>
      <c r="AL159" s="232" t="s">
        <v>105</v>
      </c>
      <c r="AM159" s="232" t="s">
        <v>105</v>
      </c>
      <c r="AN159" s="232" t="s">
        <v>106</v>
      </c>
      <c r="AO159" s="250"/>
      <c r="AP159" s="234" t="s">
        <v>888</v>
      </c>
      <c r="AQ159" s="232" t="s">
        <v>105</v>
      </c>
      <c r="AR159" s="232" t="s">
        <v>105</v>
      </c>
      <c r="AS159" s="210" t="s">
        <v>105</v>
      </c>
      <c r="AT159" s="210" t="s">
        <v>105</v>
      </c>
      <c r="AU159" s="213">
        <v>45351</v>
      </c>
      <c r="AV159" s="210" t="s">
        <v>105</v>
      </c>
      <c r="AW159" s="210" t="s">
        <v>105</v>
      </c>
      <c r="AX159" s="213">
        <v>45359</v>
      </c>
      <c r="AY159" s="221">
        <v>45359</v>
      </c>
      <c r="AZ159" s="236" t="s">
        <v>220</v>
      </c>
      <c r="BA159" s="235" t="s">
        <v>502</v>
      </c>
      <c r="BB159" s="217" t="s">
        <v>105</v>
      </c>
      <c r="BC159" s="218">
        <f t="shared" ref="BC159:BC168" si="16">IF(AY159-ON159=0,"",AY159-O159)</f>
        <v>340</v>
      </c>
      <c r="BD159" s="210" t="str">
        <f t="shared" si="15"/>
        <v>INDENIZAÇÃO</v>
      </c>
      <c r="BE159" s="210" t="str">
        <f t="shared" si="14"/>
        <v>NÃO</v>
      </c>
      <c r="BF159" s="210" t="s">
        <v>24</v>
      </c>
      <c r="BG159" s="210" t="s">
        <v>24</v>
      </c>
      <c r="BH159" s="210" t="s">
        <v>24</v>
      </c>
      <c r="BI159" s="210" t="s">
        <v>105</v>
      </c>
      <c r="BJ159" s="210" t="s">
        <v>105</v>
      </c>
      <c r="BK159" s="213">
        <v>45510</v>
      </c>
      <c r="BL159" s="210" t="s">
        <v>105</v>
      </c>
      <c r="BM159" s="241" t="s">
        <v>220</v>
      </c>
      <c r="BN159" s="232"/>
      <c r="BO159" s="232"/>
      <c r="BP159" s="232"/>
      <c r="BQ159" s="232"/>
      <c r="BR159" s="232"/>
      <c r="BS159" s="232"/>
      <c r="BT159" s="232"/>
      <c r="BU159" s="232"/>
      <c r="BV159" s="232"/>
      <c r="BW159" s="232"/>
      <c r="BX159" s="232"/>
      <c r="BY159" s="232"/>
    </row>
    <row r="160" spans="1:162" ht="35.25" customHeight="1" x14ac:dyDescent="0.25">
      <c r="A160" s="210">
        <v>147</v>
      </c>
      <c r="B160" s="210" t="s">
        <v>99</v>
      </c>
      <c r="C160" s="210">
        <v>2</v>
      </c>
      <c r="D160" s="210">
        <v>0</v>
      </c>
      <c r="E160" s="210">
        <v>0</v>
      </c>
      <c r="F160" s="219" t="s">
        <v>889</v>
      </c>
      <c r="G160" s="210" t="s">
        <v>1</v>
      </c>
      <c r="H160" s="210" t="s">
        <v>2</v>
      </c>
      <c r="I160" s="210" t="s">
        <v>12</v>
      </c>
      <c r="J160" s="219" t="s">
        <v>890</v>
      </c>
      <c r="K160" s="219" t="s">
        <v>891</v>
      </c>
      <c r="L160" s="219" t="s">
        <v>892</v>
      </c>
      <c r="M160" s="232" t="s">
        <v>4</v>
      </c>
      <c r="N160" s="232" t="s">
        <v>5</v>
      </c>
      <c r="O160" s="213">
        <v>45253</v>
      </c>
      <c r="P160" s="233" t="s">
        <v>24</v>
      </c>
      <c r="Q160" s="233" t="s">
        <v>24</v>
      </c>
      <c r="R160" s="233" t="s">
        <v>24</v>
      </c>
      <c r="S160" s="233" t="s">
        <v>24</v>
      </c>
      <c r="T160" s="213" t="s">
        <v>105</v>
      </c>
      <c r="U160" s="233" t="s">
        <v>24</v>
      </c>
      <c r="V160" s="233" t="s">
        <v>24</v>
      </c>
      <c r="W160" s="233" t="s">
        <v>24</v>
      </c>
      <c r="X160" s="233" t="s">
        <v>24</v>
      </c>
      <c r="Y160" s="233" t="s">
        <v>24</v>
      </c>
      <c r="Z160" s="233" t="s">
        <v>24</v>
      </c>
      <c r="AA160" s="232"/>
      <c r="AB160" s="219" t="s">
        <v>890</v>
      </c>
      <c r="AC160" s="219" t="s">
        <v>891</v>
      </c>
      <c r="AD160" s="219" t="s">
        <v>892</v>
      </c>
      <c r="AE160" s="220" t="s">
        <v>12</v>
      </c>
      <c r="AF160" s="232" t="s">
        <v>4</v>
      </c>
      <c r="AG160" s="230">
        <f>AH160-30000</f>
        <v>14183.68</v>
      </c>
      <c r="AH160" s="230">
        <v>44183.68</v>
      </c>
      <c r="AI160" s="232" t="s">
        <v>6</v>
      </c>
      <c r="AJ160" s="230" t="s">
        <v>104</v>
      </c>
      <c r="AK160" s="232" t="s">
        <v>105</v>
      </c>
      <c r="AL160" s="232" t="s">
        <v>105</v>
      </c>
      <c r="AM160" s="232" t="s">
        <v>105</v>
      </c>
      <c r="AN160" s="250" t="s">
        <v>106</v>
      </c>
      <c r="AO160" s="232"/>
      <c r="AP160" s="234" t="s">
        <v>893</v>
      </c>
      <c r="AQ160" s="232" t="s">
        <v>105</v>
      </c>
      <c r="AR160" s="232" t="s">
        <v>105</v>
      </c>
      <c r="AS160" s="232" t="s">
        <v>105</v>
      </c>
      <c r="AT160" s="228" t="s">
        <v>105</v>
      </c>
      <c r="AU160" s="229">
        <v>45286</v>
      </c>
      <c r="AV160" s="228" t="s">
        <v>105</v>
      </c>
      <c r="AW160" s="228" t="s">
        <v>105</v>
      </c>
      <c r="AX160" s="229">
        <v>45294</v>
      </c>
      <c r="AY160" s="236">
        <v>45300</v>
      </c>
      <c r="AZ160" s="235" t="s">
        <v>220</v>
      </c>
      <c r="BA160" s="235" t="s">
        <v>502</v>
      </c>
      <c r="BB160" s="217" t="s">
        <v>105</v>
      </c>
      <c r="BC160" s="218">
        <f t="shared" si="16"/>
        <v>47</v>
      </c>
      <c r="BD160" s="210" t="str">
        <f t="shared" si="15"/>
        <v>INDENIZAÇÃO</v>
      </c>
      <c r="BE160" s="210" t="str">
        <f t="shared" si="14"/>
        <v>NÃO</v>
      </c>
      <c r="BF160" s="210" t="s">
        <v>24</v>
      </c>
      <c r="BG160" s="210" t="s">
        <v>24</v>
      </c>
      <c r="BH160" s="210" t="s">
        <v>24</v>
      </c>
      <c r="BI160" s="210" t="s">
        <v>105</v>
      </c>
      <c r="BJ160" s="210" t="s">
        <v>105</v>
      </c>
      <c r="BK160" s="213">
        <v>45510</v>
      </c>
      <c r="BL160" s="210" t="s">
        <v>105</v>
      </c>
      <c r="BM160" s="266" t="s">
        <v>105</v>
      </c>
      <c r="BN160" s="232"/>
      <c r="BO160" s="232"/>
      <c r="BP160" s="232"/>
      <c r="BQ160" s="232"/>
      <c r="BR160" s="232"/>
      <c r="BS160" s="232"/>
      <c r="BT160" s="232"/>
      <c r="BU160" s="232"/>
      <c r="BV160" s="232"/>
      <c r="BW160" s="232"/>
      <c r="BX160" s="232"/>
      <c r="BY160" s="232"/>
    </row>
    <row r="161" spans="1:77" ht="35.25" hidden="1" customHeight="1" x14ac:dyDescent="0.25">
      <c r="A161" s="210">
        <v>148</v>
      </c>
      <c r="B161" s="210" t="s">
        <v>99</v>
      </c>
      <c r="C161" s="210">
        <v>2</v>
      </c>
      <c r="D161" s="210">
        <v>0</v>
      </c>
      <c r="E161" s="210">
        <v>0</v>
      </c>
      <c r="F161" s="219" t="s">
        <v>894</v>
      </c>
      <c r="G161" s="210" t="s">
        <v>1</v>
      </c>
      <c r="H161" s="210" t="s">
        <v>2</v>
      </c>
      <c r="I161" s="210" t="s">
        <v>12</v>
      </c>
      <c r="J161" s="219" t="s">
        <v>895</v>
      </c>
      <c r="K161" s="219" t="s">
        <v>896</v>
      </c>
      <c r="L161" s="219" t="s">
        <v>897</v>
      </c>
      <c r="M161" s="232" t="s">
        <v>4</v>
      </c>
      <c r="N161" s="220" t="s">
        <v>14</v>
      </c>
      <c r="O161" s="213">
        <v>45019</v>
      </c>
      <c r="P161" s="233">
        <v>45189</v>
      </c>
      <c r="Q161" s="213" t="s">
        <v>114</v>
      </c>
      <c r="R161" s="233" t="s">
        <v>105</v>
      </c>
      <c r="S161" s="233" t="s">
        <v>105</v>
      </c>
      <c r="T161" s="213" t="s">
        <v>105</v>
      </c>
      <c r="U161" s="233">
        <v>45236</v>
      </c>
      <c r="V161" s="233" t="s">
        <v>105</v>
      </c>
      <c r="W161" s="233">
        <v>45237</v>
      </c>
      <c r="X161" s="251">
        <v>45253</v>
      </c>
      <c r="Y161" s="236" t="s">
        <v>220</v>
      </c>
      <c r="Z161" s="236"/>
      <c r="AA161" s="232"/>
      <c r="AB161" s="219" t="s">
        <v>895</v>
      </c>
      <c r="AC161" s="219" t="s">
        <v>896</v>
      </c>
      <c r="AD161" s="219" t="s">
        <v>897</v>
      </c>
      <c r="AE161" s="220" t="s">
        <v>12</v>
      </c>
      <c r="AF161" s="232" t="s">
        <v>4</v>
      </c>
      <c r="AG161" s="230">
        <v>0</v>
      </c>
      <c r="AH161" s="230">
        <v>0</v>
      </c>
      <c r="AI161" s="232" t="s">
        <v>23</v>
      </c>
      <c r="AJ161" s="230" t="s">
        <v>104</v>
      </c>
      <c r="AK161" s="232" t="s">
        <v>105</v>
      </c>
      <c r="AL161" s="232" t="s">
        <v>24</v>
      </c>
      <c r="AM161" s="232" t="s">
        <v>24</v>
      </c>
      <c r="AN161" s="232" t="s">
        <v>24</v>
      </c>
      <c r="AO161" s="232"/>
      <c r="AP161" s="234" t="s">
        <v>24</v>
      </c>
      <c r="AQ161" s="232" t="s">
        <v>24</v>
      </c>
      <c r="AR161" s="232" t="s">
        <v>24</v>
      </c>
      <c r="AS161" s="232" t="s">
        <v>24</v>
      </c>
      <c r="AT161" s="232" t="s">
        <v>24</v>
      </c>
      <c r="AU161" s="232" t="s">
        <v>24</v>
      </c>
      <c r="AV161" s="232" t="s">
        <v>24</v>
      </c>
      <c r="AW161" s="232" t="s">
        <v>24</v>
      </c>
      <c r="AX161" s="251">
        <v>45253</v>
      </c>
      <c r="AY161" s="232"/>
      <c r="AZ161" s="233"/>
      <c r="BA161" s="232"/>
      <c r="BB161" s="232"/>
      <c r="BC161" s="218" t="str">
        <f t="shared" si="16"/>
        <v/>
      </c>
      <c r="BD161" s="210" t="str">
        <f t="shared" si="15"/>
        <v>AA</v>
      </c>
      <c r="BE161" s="210" t="str">
        <f t="shared" si="14"/>
        <v>NÃO</v>
      </c>
      <c r="BF161" s="210"/>
      <c r="BG161" s="210"/>
      <c r="BH161" s="210"/>
      <c r="BI161" s="210"/>
      <c r="BJ161" s="210"/>
      <c r="BK161" s="210"/>
      <c r="BL161" s="210"/>
      <c r="BM161" s="210"/>
      <c r="BN161" s="232"/>
      <c r="BO161" s="232"/>
      <c r="BP161" s="232"/>
      <c r="BQ161" s="232"/>
      <c r="BR161" s="232"/>
      <c r="BS161" s="232"/>
      <c r="BT161" s="232"/>
      <c r="BU161" s="232"/>
      <c r="BV161" s="232"/>
      <c r="BW161" s="232"/>
      <c r="BX161" s="232"/>
      <c r="BY161" s="232"/>
    </row>
    <row r="162" spans="1:77" ht="35.25" customHeight="1" x14ac:dyDescent="0.25">
      <c r="A162" s="210">
        <v>149</v>
      </c>
      <c r="B162" s="210" t="s">
        <v>99</v>
      </c>
      <c r="C162" s="210">
        <v>2</v>
      </c>
      <c r="D162" s="210">
        <v>0</v>
      </c>
      <c r="E162" s="210">
        <v>0</v>
      </c>
      <c r="F162" s="219" t="s">
        <v>898</v>
      </c>
      <c r="G162" s="210" t="s">
        <v>1</v>
      </c>
      <c r="H162" s="210" t="s">
        <v>11</v>
      </c>
      <c r="I162" s="220" t="s">
        <v>3</v>
      </c>
      <c r="J162" s="219" t="s">
        <v>899</v>
      </c>
      <c r="K162" s="219" t="s">
        <v>900</v>
      </c>
      <c r="L162" s="219" t="s">
        <v>901</v>
      </c>
      <c r="M162" s="232" t="s">
        <v>4</v>
      </c>
      <c r="N162" s="232" t="s">
        <v>591</v>
      </c>
      <c r="O162" s="213">
        <v>45019</v>
      </c>
      <c r="P162" s="233" t="s">
        <v>24</v>
      </c>
      <c r="Q162" s="233" t="s">
        <v>24</v>
      </c>
      <c r="R162" s="233" t="s">
        <v>24</v>
      </c>
      <c r="S162" s="233" t="s">
        <v>24</v>
      </c>
      <c r="T162" s="233" t="s">
        <v>24</v>
      </c>
      <c r="U162" s="233" t="s">
        <v>24</v>
      </c>
      <c r="V162" s="233" t="s">
        <v>24</v>
      </c>
      <c r="W162" s="233" t="s">
        <v>24</v>
      </c>
      <c r="X162" s="233" t="s">
        <v>24</v>
      </c>
      <c r="Y162" s="233" t="s">
        <v>24</v>
      </c>
      <c r="Z162" s="233" t="s">
        <v>24</v>
      </c>
      <c r="AA162" s="232"/>
      <c r="AB162" s="219" t="s">
        <v>899</v>
      </c>
      <c r="AC162" s="219" t="s">
        <v>900</v>
      </c>
      <c r="AD162" s="219" t="s">
        <v>901</v>
      </c>
      <c r="AE162" s="210" t="s">
        <v>547</v>
      </c>
      <c r="AF162" s="232" t="s">
        <v>4</v>
      </c>
      <c r="AG162" s="230">
        <f>AH162-30000</f>
        <v>11000</v>
      </c>
      <c r="AH162" s="230">
        <v>41000</v>
      </c>
      <c r="AI162" s="232" t="s">
        <v>6</v>
      </c>
      <c r="AJ162" s="230" t="s">
        <v>104</v>
      </c>
      <c r="AK162" s="232" t="s">
        <v>105</v>
      </c>
      <c r="AL162" s="232" t="s">
        <v>105</v>
      </c>
      <c r="AM162" s="232" t="s">
        <v>105</v>
      </c>
      <c r="AN162" s="232" t="s">
        <v>106</v>
      </c>
      <c r="AO162" s="259" t="s">
        <v>902</v>
      </c>
      <c r="AP162" s="234" t="s">
        <v>903</v>
      </c>
      <c r="AQ162" s="228" t="s">
        <v>501</v>
      </c>
      <c r="AR162" s="228" t="s">
        <v>501</v>
      </c>
      <c r="AS162" s="228" t="s">
        <v>501</v>
      </c>
      <c r="AT162" s="228" t="s">
        <v>501</v>
      </c>
      <c r="AU162" s="213">
        <v>45425</v>
      </c>
      <c r="AV162" s="228" t="s">
        <v>501</v>
      </c>
      <c r="AW162" s="228" t="s">
        <v>501</v>
      </c>
      <c r="AX162" s="213">
        <v>45432</v>
      </c>
      <c r="AY162" s="236">
        <v>45432</v>
      </c>
      <c r="AZ162" s="236" t="s">
        <v>220</v>
      </c>
      <c r="BA162" s="235" t="s">
        <v>502</v>
      </c>
      <c r="BB162" s="217" t="s">
        <v>105</v>
      </c>
      <c r="BC162" s="218">
        <f t="shared" si="16"/>
        <v>413</v>
      </c>
      <c r="BD162" s="210" t="str">
        <f t="shared" si="15"/>
        <v>INDENIZAÇÃO</v>
      </c>
      <c r="BE162" s="210" t="str">
        <f t="shared" si="14"/>
        <v>NÃO</v>
      </c>
      <c r="BF162" s="210" t="s">
        <v>24</v>
      </c>
      <c r="BG162" s="210" t="s">
        <v>24</v>
      </c>
      <c r="BH162" s="210" t="s">
        <v>24</v>
      </c>
      <c r="BI162" s="210" t="s">
        <v>105</v>
      </c>
      <c r="BJ162" s="210" t="s">
        <v>105</v>
      </c>
      <c r="BK162" s="213">
        <v>45483</v>
      </c>
      <c r="BL162" s="210" t="s">
        <v>105</v>
      </c>
      <c r="BM162" s="241" t="s">
        <v>220</v>
      </c>
      <c r="BN162" s="232"/>
      <c r="BO162" s="232"/>
      <c r="BP162" s="232"/>
      <c r="BQ162" s="232"/>
      <c r="BR162" s="232"/>
      <c r="BS162" s="232"/>
      <c r="BT162" s="232"/>
      <c r="BU162" s="232"/>
      <c r="BV162" s="232"/>
      <c r="BW162" s="232"/>
      <c r="BX162" s="232"/>
      <c r="BY162" s="232"/>
    </row>
    <row r="163" spans="1:77" ht="35.25" hidden="1" customHeight="1" x14ac:dyDescent="0.25">
      <c r="A163" s="210">
        <v>150</v>
      </c>
      <c r="B163" s="210" t="s">
        <v>99</v>
      </c>
      <c r="C163" s="210">
        <v>2</v>
      </c>
      <c r="D163" s="210">
        <v>0</v>
      </c>
      <c r="E163" s="210">
        <v>0</v>
      </c>
      <c r="F163" s="219" t="s">
        <v>904</v>
      </c>
      <c r="G163" s="220" t="s">
        <v>1</v>
      </c>
      <c r="H163" s="220" t="s">
        <v>2</v>
      </c>
      <c r="I163" s="210" t="s">
        <v>12</v>
      </c>
      <c r="J163" s="219" t="s">
        <v>905</v>
      </c>
      <c r="K163" s="219" t="s">
        <v>906</v>
      </c>
      <c r="L163" s="219" t="s">
        <v>907</v>
      </c>
      <c r="M163" s="232" t="s">
        <v>4</v>
      </c>
      <c r="N163" s="220" t="s">
        <v>14</v>
      </c>
      <c r="O163" s="213">
        <v>45019</v>
      </c>
      <c r="P163" s="233">
        <v>45189</v>
      </c>
      <c r="Q163" s="213" t="s">
        <v>114</v>
      </c>
      <c r="R163" s="233" t="s">
        <v>105</v>
      </c>
      <c r="S163" s="233" t="s">
        <v>105</v>
      </c>
      <c r="T163" s="213" t="s">
        <v>105</v>
      </c>
      <c r="U163" s="233">
        <v>45236</v>
      </c>
      <c r="V163" s="233" t="s">
        <v>105</v>
      </c>
      <c r="W163" s="233">
        <v>45237</v>
      </c>
      <c r="X163" s="251">
        <v>45253</v>
      </c>
      <c r="Y163" s="236" t="s">
        <v>220</v>
      </c>
      <c r="Z163" s="236"/>
      <c r="AA163" s="232"/>
      <c r="AB163" s="219" t="s">
        <v>905</v>
      </c>
      <c r="AC163" s="219" t="s">
        <v>906</v>
      </c>
      <c r="AD163" s="219" t="s">
        <v>907</v>
      </c>
      <c r="AE163" s="220" t="s">
        <v>12</v>
      </c>
      <c r="AF163" s="232" t="s">
        <v>4</v>
      </c>
      <c r="AG163" s="230">
        <v>0</v>
      </c>
      <c r="AH163" s="230">
        <v>0</v>
      </c>
      <c r="AI163" s="232" t="s">
        <v>23</v>
      </c>
      <c r="AJ163" s="230" t="s">
        <v>104</v>
      </c>
      <c r="AK163" s="232" t="s">
        <v>105</v>
      </c>
      <c r="AL163" s="232" t="s">
        <v>24</v>
      </c>
      <c r="AM163" s="232" t="s">
        <v>24</v>
      </c>
      <c r="AN163" s="232" t="s">
        <v>24</v>
      </c>
      <c r="AO163" s="232"/>
      <c r="AP163" s="234" t="s">
        <v>24</v>
      </c>
      <c r="AQ163" s="232" t="s">
        <v>24</v>
      </c>
      <c r="AR163" s="232" t="s">
        <v>24</v>
      </c>
      <c r="AS163" s="232" t="s">
        <v>24</v>
      </c>
      <c r="AT163" s="232" t="s">
        <v>24</v>
      </c>
      <c r="AU163" s="232" t="s">
        <v>24</v>
      </c>
      <c r="AV163" s="232" t="s">
        <v>24</v>
      </c>
      <c r="AW163" s="232" t="s">
        <v>24</v>
      </c>
      <c r="AX163" s="251">
        <v>45253</v>
      </c>
      <c r="AY163" s="232"/>
      <c r="AZ163" s="233"/>
      <c r="BA163" s="232"/>
      <c r="BB163" s="232"/>
      <c r="BC163" s="218" t="str">
        <f t="shared" si="16"/>
        <v/>
      </c>
      <c r="BD163" s="210" t="str">
        <f t="shared" si="15"/>
        <v>AA</v>
      </c>
      <c r="BE163" s="210" t="str">
        <f t="shared" si="14"/>
        <v>NÃO</v>
      </c>
      <c r="BF163" s="210"/>
      <c r="BG163" s="210"/>
      <c r="BH163" s="210"/>
      <c r="BI163" s="210"/>
      <c r="BJ163" s="210"/>
      <c r="BK163" s="210"/>
      <c r="BL163" s="210"/>
      <c r="BM163" s="210"/>
      <c r="BN163" s="232"/>
      <c r="BO163" s="232"/>
      <c r="BP163" s="232"/>
      <c r="BQ163" s="232"/>
      <c r="BR163" s="232"/>
      <c r="BS163" s="232"/>
      <c r="BT163" s="232"/>
      <c r="BU163" s="232"/>
      <c r="BV163" s="232"/>
      <c r="BW163" s="232"/>
      <c r="BX163" s="232"/>
      <c r="BY163" s="232"/>
    </row>
    <row r="164" spans="1:77" ht="35.25" customHeight="1" x14ac:dyDescent="0.25">
      <c r="A164" s="210">
        <v>151</v>
      </c>
      <c r="B164" s="210" t="s">
        <v>99</v>
      </c>
      <c r="C164" s="210">
        <v>2</v>
      </c>
      <c r="D164" s="210">
        <v>0</v>
      </c>
      <c r="E164" s="210">
        <v>0</v>
      </c>
      <c r="F164" s="219" t="s">
        <v>908</v>
      </c>
      <c r="G164" s="210" t="s">
        <v>1</v>
      </c>
      <c r="H164" s="210" t="s">
        <v>2</v>
      </c>
      <c r="I164" s="210" t="s">
        <v>121</v>
      </c>
      <c r="J164" s="219" t="s">
        <v>909</v>
      </c>
      <c r="K164" s="219" t="s">
        <v>910</v>
      </c>
      <c r="L164" s="219" t="s">
        <v>911</v>
      </c>
      <c r="M164" s="232" t="s">
        <v>4</v>
      </c>
      <c r="N164" s="232" t="s">
        <v>14</v>
      </c>
      <c r="O164" s="213">
        <v>45019</v>
      </c>
      <c r="P164" s="251">
        <v>45238</v>
      </c>
      <c r="Q164" s="229" t="s">
        <v>114</v>
      </c>
      <c r="R164" s="233" t="s">
        <v>105</v>
      </c>
      <c r="S164" s="233" t="s">
        <v>105</v>
      </c>
      <c r="T164" s="213" t="s">
        <v>105</v>
      </c>
      <c r="U164" s="251">
        <v>45264</v>
      </c>
      <c r="V164" s="213" t="s">
        <v>105</v>
      </c>
      <c r="W164" s="233">
        <v>45265</v>
      </c>
      <c r="X164" s="233">
        <v>45275</v>
      </c>
      <c r="Y164" s="236" t="s">
        <v>220</v>
      </c>
      <c r="Z164" s="236"/>
      <c r="AA164" s="232"/>
      <c r="AB164" s="219" t="s">
        <v>912</v>
      </c>
      <c r="AC164" s="219" t="s">
        <v>913</v>
      </c>
      <c r="AD164" s="219" t="s">
        <v>914</v>
      </c>
      <c r="AE164" s="210" t="s">
        <v>547</v>
      </c>
      <c r="AF164" s="232" t="s">
        <v>4</v>
      </c>
      <c r="AG164" s="230">
        <f>AH164-30000</f>
        <v>5100</v>
      </c>
      <c r="AH164" s="230">
        <v>35100</v>
      </c>
      <c r="AI164" s="232" t="s">
        <v>6</v>
      </c>
      <c r="AJ164" s="230" t="s">
        <v>104</v>
      </c>
      <c r="AK164" s="232" t="s">
        <v>105</v>
      </c>
      <c r="AL164" s="232" t="s">
        <v>105</v>
      </c>
      <c r="AM164" s="232" t="s">
        <v>105</v>
      </c>
      <c r="AN164" s="232" t="s">
        <v>106</v>
      </c>
      <c r="AO164" s="250"/>
      <c r="AP164" s="234" t="s">
        <v>915</v>
      </c>
      <c r="AQ164" s="250" t="s">
        <v>105</v>
      </c>
      <c r="AR164" s="250" t="s">
        <v>105</v>
      </c>
      <c r="AS164" s="210" t="s">
        <v>105</v>
      </c>
      <c r="AT164" s="210" t="s">
        <v>105</v>
      </c>
      <c r="AU164" s="213">
        <v>45351</v>
      </c>
      <c r="AV164" s="210" t="s">
        <v>105</v>
      </c>
      <c r="AW164" s="210" t="s">
        <v>105</v>
      </c>
      <c r="AX164" s="213">
        <v>45359</v>
      </c>
      <c r="AY164" s="221">
        <v>45359</v>
      </c>
      <c r="AZ164" s="236" t="s">
        <v>220</v>
      </c>
      <c r="BA164" s="235" t="s">
        <v>502</v>
      </c>
      <c r="BB164" s="217" t="s">
        <v>105</v>
      </c>
      <c r="BC164" s="218">
        <f t="shared" si="16"/>
        <v>340</v>
      </c>
      <c r="BD164" s="210" t="str">
        <f t="shared" si="15"/>
        <v>INDENIZAÇÃO</v>
      </c>
      <c r="BE164" s="210" t="str">
        <f t="shared" si="14"/>
        <v>NÃO</v>
      </c>
      <c r="BF164" s="210" t="s">
        <v>24</v>
      </c>
      <c r="BG164" s="210" t="s">
        <v>24</v>
      </c>
      <c r="BH164" s="210" t="s">
        <v>24</v>
      </c>
      <c r="BI164" s="210" t="s">
        <v>105</v>
      </c>
      <c r="BJ164" s="210" t="s">
        <v>105</v>
      </c>
      <c r="BK164" s="213">
        <v>45510</v>
      </c>
      <c r="BL164" s="210" t="s">
        <v>105</v>
      </c>
      <c r="BM164" s="241" t="s">
        <v>220</v>
      </c>
      <c r="BN164" s="232"/>
      <c r="BO164" s="232"/>
      <c r="BP164" s="232"/>
      <c r="BQ164" s="232"/>
      <c r="BR164" s="232"/>
      <c r="BS164" s="232"/>
      <c r="BT164" s="232"/>
      <c r="BU164" s="232"/>
      <c r="BV164" s="232"/>
      <c r="BW164" s="232"/>
      <c r="BX164" s="232"/>
      <c r="BY164" s="232"/>
    </row>
    <row r="165" spans="1:77" ht="35.25" customHeight="1" x14ac:dyDescent="0.25">
      <c r="A165" s="210">
        <v>152</v>
      </c>
      <c r="B165" s="210" t="s">
        <v>99</v>
      </c>
      <c r="C165" s="210">
        <v>2</v>
      </c>
      <c r="D165" s="210">
        <v>0</v>
      </c>
      <c r="E165" s="210">
        <v>0</v>
      </c>
      <c r="F165" s="219" t="s">
        <v>916</v>
      </c>
      <c r="G165" s="210" t="s">
        <v>1</v>
      </c>
      <c r="H165" s="210" t="s">
        <v>2</v>
      </c>
      <c r="I165" s="210" t="s">
        <v>12</v>
      </c>
      <c r="J165" s="219" t="s">
        <v>917</v>
      </c>
      <c r="K165" s="219" t="s">
        <v>918</v>
      </c>
      <c r="L165" s="219" t="s">
        <v>919</v>
      </c>
      <c r="M165" s="232" t="s">
        <v>4</v>
      </c>
      <c r="N165" s="232" t="s">
        <v>5</v>
      </c>
      <c r="O165" s="213">
        <v>45237</v>
      </c>
      <c r="P165" s="233" t="s">
        <v>24</v>
      </c>
      <c r="Q165" s="233" t="s">
        <v>24</v>
      </c>
      <c r="R165" s="233" t="s">
        <v>24</v>
      </c>
      <c r="S165" s="233" t="s">
        <v>24</v>
      </c>
      <c r="T165" s="213" t="s">
        <v>105</v>
      </c>
      <c r="U165" s="233" t="s">
        <v>24</v>
      </c>
      <c r="V165" s="233" t="s">
        <v>24</v>
      </c>
      <c r="W165" s="233" t="s">
        <v>24</v>
      </c>
      <c r="X165" s="233" t="s">
        <v>24</v>
      </c>
      <c r="Y165" s="233" t="s">
        <v>24</v>
      </c>
      <c r="Z165" s="233" t="s">
        <v>24</v>
      </c>
      <c r="AA165" s="232"/>
      <c r="AB165" s="219" t="s">
        <v>917</v>
      </c>
      <c r="AC165" s="219" t="s">
        <v>918</v>
      </c>
      <c r="AD165" s="219" t="s">
        <v>919</v>
      </c>
      <c r="AE165" s="220" t="s">
        <v>12</v>
      </c>
      <c r="AF165" s="232" t="s">
        <v>4</v>
      </c>
      <c r="AG165" s="230">
        <v>0</v>
      </c>
      <c r="AH165" s="230">
        <v>60000</v>
      </c>
      <c r="AI165" s="232" t="s">
        <v>6</v>
      </c>
      <c r="AJ165" s="230" t="s">
        <v>104</v>
      </c>
      <c r="AK165" s="232" t="s">
        <v>105</v>
      </c>
      <c r="AL165" s="232" t="s">
        <v>105</v>
      </c>
      <c r="AM165" s="232" t="s">
        <v>105</v>
      </c>
      <c r="AN165" s="232" t="s">
        <v>106</v>
      </c>
      <c r="AO165" s="232"/>
      <c r="AP165" s="234" t="s">
        <v>920</v>
      </c>
      <c r="AQ165" s="232" t="s">
        <v>105</v>
      </c>
      <c r="AR165" s="232" t="s">
        <v>105</v>
      </c>
      <c r="AS165" s="232" t="s">
        <v>105</v>
      </c>
      <c r="AT165" s="232" t="s">
        <v>105</v>
      </c>
      <c r="AU165" s="233">
        <v>45278</v>
      </c>
      <c r="AV165" s="232" t="s">
        <v>105</v>
      </c>
      <c r="AW165" s="228" t="s">
        <v>105</v>
      </c>
      <c r="AX165" s="229">
        <v>45295</v>
      </c>
      <c r="AY165" s="236">
        <v>45306</v>
      </c>
      <c r="AZ165" s="235" t="s">
        <v>220</v>
      </c>
      <c r="BA165" s="235" t="s">
        <v>502</v>
      </c>
      <c r="BB165" s="217" t="s">
        <v>105</v>
      </c>
      <c r="BC165" s="218">
        <f t="shared" si="16"/>
        <v>69</v>
      </c>
      <c r="BD165" s="210" t="str">
        <f t="shared" si="15"/>
        <v>INDENIZAÇÃO</v>
      </c>
      <c r="BE165" s="210" t="str">
        <f t="shared" si="14"/>
        <v>NÃO</v>
      </c>
      <c r="BF165" s="210" t="s">
        <v>24</v>
      </c>
      <c r="BG165" s="210" t="s">
        <v>24</v>
      </c>
      <c r="BH165" s="210" t="s">
        <v>24</v>
      </c>
      <c r="BI165" s="210" t="s">
        <v>105</v>
      </c>
      <c r="BJ165" s="210" t="s">
        <v>105</v>
      </c>
      <c r="BK165" s="213">
        <v>45510</v>
      </c>
      <c r="BL165" s="210" t="s">
        <v>105</v>
      </c>
      <c r="BM165" s="241" t="s">
        <v>220</v>
      </c>
      <c r="BN165" s="232"/>
      <c r="BO165" s="232"/>
      <c r="BP165" s="232"/>
      <c r="BQ165" s="232"/>
      <c r="BR165" s="232"/>
      <c r="BS165" s="232"/>
      <c r="BT165" s="232"/>
      <c r="BU165" s="232"/>
      <c r="BV165" s="232"/>
      <c r="BW165" s="232"/>
      <c r="BX165" s="232"/>
      <c r="BY165" s="232"/>
    </row>
    <row r="166" spans="1:77" ht="35.25" hidden="1" customHeight="1" x14ac:dyDescent="0.25">
      <c r="A166" s="210">
        <v>153</v>
      </c>
      <c r="B166" s="210" t="s">
        <v>99</v>
      </c>
      <c r="C166" s="210">
        <v>2</v>
      </c>
      <c r="D166" s="210">
        <v>0</v>
      </c>
      <c r="E166" s="210">
        <v>0</v>
      </c>
      <c r="F166" s="219" t="s">
        <v>921</v>
      </c>
      <c r="G166" s="210" t="s">
        <v>1</v>
      </c>
      <c r="H166" s="210" t="s">
        <v>2</v>
      </c>
      <c r="I166" s="210" t="s">
        <v>12</v>
      </c>
      <c r="J166" s="219" t="s">
        <v>922</v>
      </c>
      <c r="K166" s="219" t="s">
        <v>923</v>
      </c>
      <c r="L166" s="219" t="s">
        <v>924</v>
      </c>
      <c r="M166" s="232" t="s">
        <v>4</v>
      </c>
      <c r="N166" s="220" t="s">
        <v>14</v>
      </c>
      <c r="O166" s="213">
        <v>45019</v>
      </c>
      <c r="P166" s="233">
        <v>45189</v>
      </c>
      <c r="Q166" s="213" t="s">
        <v>114</v>
      </c>
      <c r="R166" s="233" t="s">
        <v>105</v>
      </c>
      <c r="S166" s="233" t="s">
        <v>105</v>
      </c>
      <c r="T166" s="213" t="s">
        <v>105</v>
      </c>
      <c r="U166" s="233">
        <v>45236</v>
      </c>
      <c r="V166" s="233" t="s">
        <v>105</v>
      </c>
      <c r="W166" s="233">
        <v>45237</v>
      </c>
      <c r="X166" s="251">
        <v>45253</v>
      </c>
      <c r="Y166" s="236" t="s">
        <v>220</v>
      </c>
      <c r="Z166" s="236"/>
      <c r="AA166" s="232"/>
      <c r="AB166" s="219" t="s">
        <v>922</v>
      </c>
      <c r="AC166" s="219" t="s">
        <v>923</v>
      </c>
      <c r="AD166" s="219" t="s">
        <v>924</v>
      </c>
      <c r="AE166" s="220" t="s">
        <v>12</v>
      </c>
      <c r="AF166" s="232" t="s">
        <v>4</v>
      </c>
      <c r="AG166" s="230">
        <v>0</v>
      </c>
      <c r="AH166" s="230">
        <v>0</v>
      </c>
      <c r="AI166" s="232" t="s">
        <v>23</v>
      </c>
      <c r="AJ166" s="230" t="s">
        <v>104</v>
      </c>
      <c r="AK166" s="232" t="s">
        <v>105</v>
      </c>
      <c r="AL166" s="232" t="s">
        <v>24</v>
      </c>
      <c r="AM166" s="232" t="s">
        <v>24</v>
      </c>
      <c r="AN166" s="232" t="s">
        <v>24</v>
      </c>
      <c r="AO166" s="232"/>
      <c r="AP166" s="234" t="s">
        <v>24</v>
      </c>
      <c r="AQ166" s="232" t="s">
        <v>24</v>
      </c>
      <c r="AR166" s="232" t="s">
        <v>24</v>
      </c>
      <c r="AS166" s="232" t="s">
        <v>24</v>
      </c>
      <c r="AT166" s="232" t="s">
        <v>24</v>
      </c>
      <c r="AU166" s="232" t="s">
        <v>24</v>
      </c>
      <c r="AV166" s="232" t="s">
        <v>24</v>
      </c>
      <c r="AW166" s="232" t="s">
        <v>24</v>
      </c>
      <c r="AX166" s="251">
        <v>45253</v>
      </c>
      <c r="AY166" s="232"/>
      <c r="AZ166" s="233"/>
      <c r="BA166" s="232"/>
      <c r="BB166" s="232"/>
      <c r="BC166" s="218" t="str">
        <f t="shared" si="16"/>
        <v/>
      </c>
      <c r="BD166" s="210" t="str">
        <f t="shared" si="15"/>
        <v>AA</v>
      </c>
      <c r="BE166" s="210" t="str">
        <f t="shared" si="14"/>
        <v>NÃO</v>
      </c>
      <c r="BF166" s="210"/>
      <c r="BG166" s="210"/>
      <c r="BH166" s="210"/>
      <c r="BI166" s="210"/>
      <c r="BJ166" s="210"/>
      <c r="BK166" s="210"/>
      <c r="BL166" s="210"/>
      <c r="BM166" s="210"/>
      <c r="BN166" s="232"/>
      <c r="BO166" s="232"/>
      <c r="BP166" s="232"/>
      <c r="BQ166" s="232"/>
      <c r="BR166" s="232"/>
      <c r="BS166" s="232"/>
      <c r="BT166" s="232"/>
      <c r="BU166" s="232"/>
      <c r="BV166" s="232"/>
      <c r="BW166" s="232"/>
      <c r="BX166" s="232"/>
      <c r="BY166" s="232"/>
    </row>
    <row r="167" spans="1:77" ht="35.25" hidden="1" customHeight="1" x14ac:dyDescent="0.25">
      <c r="A167" s="210">
        <v>154</v>
      </c>
      <c r="B167" s="210" t="s">
        <v>99</v>
      </c>
      <c r="C167" s="210">
        <v>2</v>
      </c>
      <c r="D167" s="210">
        <v>0</v>
      </c>
      <c r="E167" s="210">
        <v>0</v>
      </c>
      <c r="F167" s="219" t="s">
        <v>925</v>
      </c>
      <c r="G167" s="220" t="s">
        <v>1</v>
      </c>
      <c r="H167" s="220" t="s">
        <v>2</v>
      </c>
      <c r="I167" s="210" t="s">
        <v>12</v>
      </c>
      <c r="J167" s="219" t="s">
        <v>926</v>
      </c>
      <c r="K167" s="219" t="s">
        <v>927</v>
      </c>
      <c r="L167" s="219" t="s">
        <v>928</v>
      </c>
      <c r="M167" s="232" t="s">
        <v>4</v>
      </c>
      <c r="N167" s="232" t="s">
        <v>5</v>
      </c>
      <c r="O167" s="213">
        <v>45237</v>
      </c>
      <c r="P167" s="251" t="s">
        <v>105</v>
      </c>
      <c r="Q167" s="229" t="s">
        <v>114</v>
      </c>
      <c r="R167" s="251" t="s">
        <v>105</v>
      </c>
      <c r="S167" s="251" t="s">
        <v>105</v>
      </c>
      <c r="T167" s="251" t="s">
        <v>105</v>
      </c>
      <c r="U167" s="251">
        <v>45475</v>
      </c>
      <c r="V167" s="251" t="s">
        <v>105</v>
      </c>
      <c r="W167" s="251" t="s">
        <v>105</v>
      </c>
      <c r="X167" s="251">
        <v>45492</v>
      </c>
      <c r="Y167" s="251">
        <v>45509</v>
      </c>
      <c r="Z167" s="251"/>
      <c r="AA167" s="232"/>
      <c r="AB167" s="219" t="s">
        <v>926</v>
      </c>
      <c r="AC167" s="219" t="s">
        <v>927</v>
      </c>
      <c r="AD167" s="219" t="s">
        <v>928</v>
      </c>
      <c r="AE167" s="220" t="s">
        <v>12</v>
      </c>
      <c r="AF167" s="232" t="s">
        <v>4</v>
      </c>
      <c r="AG167" s="230">
        <f>AH167-30000</f>
        <v>35500</v>
      </c>
      <c r="AH167" s="230">
        <v>65500</v>
      </c>
      <c r="AI167" s="232" t="s">
        <v>6</v>
      </c>
      <c r="AJ167" s="230" t="s">
        <v>104</v>
      </c>
      <c r="AK167" s="232" t="s">
        <v>105</v>
      </c>
      <c r="AL167" s="232" t="s">
        <v>105</v>
      </c>
      <c r="AM167" s="232" t="s">
        <v>105</v>
      </c>
      <c r="AN167" s="232" t="s">
        <v>106</v>
      </c>
      <c r="AO167" s="259" t="s">
        <v>929</v>
      </c>
      <c r="AP167" s="234" t="s">
        <v>24</v>
      </c>
      <c r="AQ167" s="232" t="s">
        <v>24</v>
      </c>
      <c r="AR167" s="232" t="s">
        <v>24</v>
      </c>
      <c r="AS167" s="232" t="s">
        <v>24</v>
      </c>
      <c r="AT167" s="232" t="s">
        <v>24</v>
      </c>
      <c r="AU167" s="232" t="s">
        <v>24</v>
      </c>
      <c r="AV167" s="232" t="s">
        <v>24</v>
      </c>
      <c r="AW167" s="232" t="s">
        <v>24</v>
      </c>
      <c r="AX167" s="232" t="s">
        <v>24</v>
      </c>
      <c r="AY167" s="232" t="s">
        <v>24</v>
      </c>
      <c r="AZ167" s="251"/>
      <c r="BA167" s="235" t="s">
        <v>1</v>
      </c>
      <c r="BB167" s="232"/>
      <c r="BC167" s="218" t="e">
        <f t="shared" si="16"/>
        <v>#VALUE!</v>
      </c>
      <c r="BD167" s="210" t="str">
        <f t="shared" si="15"/>
        <v>INDENIZAÇÃO</v>
      </c>
      <c r="BE167" s="210" t="str">
        <f t="shared" si="14"/>
        <v>NÃO</v>
      </c>
      <c r="BF167" s="210"/>
      <c r="BG167" s="210"/>
      <c r="BH167" s="210"/>
      <c r="BI167" s="210"/>
      <c r="BJ167" s="210"/>
      <c r="BK167" s="210"/>
      <c r="BL167" s="210"/>
      <c r="BM167" s="210"/>
      <c r="BN167" s="232"/>
      <c r="BO167" s="232"/>
      <c r="BP167" s="232"/>
      <c r="BQ167" s="232"/>
      <c r="BR167" s="232"/>
      <c r="BS167" s="232"/>
      <c r="BT167" s="232"/>
      <c r="BU167" s="232"/>
      <c r="BV167" s="232"/>
      <c r="BW167" s="232"/>
      <c r="BX167" s="232"/>
      <c r="BY167" s="232"/>
    </row>
    <row r="168" spans="1:77" ht="35.25" hidden="1" customHeight="1" x14ac:dyDescent="0.25">
      <c r="A168" s="210">
        <v>155</v>
      </c>
      <c r="B168" s="210" t="s">
        <v>99</v>
      </c>
      <c r="C168" s="210">
        <v>2</v>
      </c>
      <c r="D168" s="210">
        <v>0</v>
      </c>
      <c r="E168" s="210">
        <v>0</v>
      </c>
      <c r="F168" s="219" t="s">
        <v>930</v>
      </c>
      <c r="G168" s="210" t="s">
        <v>1</v>
      </c>
      <c r="H168" s="210" t="s">
        <v>2</v>
      </c>
      <c r="I168" s="210" t="s">
        <v>12</v>
      </c>
      <c r="J168" s="219" t="s">
        <v>931</v>
      </c>
      <c r="K168" s="219" t="s">
        <v>932</v>
      </c>
      <c r="L168" s="219" t="s">
        <v>933</v>
      </c>
      <c r="M168" s="250" t="s">
        <v>4</v>
      </c>
      <c r="N168" s="220" t="s">
        <v>14</v>
      </c>
      <c r="O168" s="213">
        <v>45019</v>
      </c>
      <c r="P168" s="251">
        <v>45289</v>
      </c>
      <c r="Q168" s="251" t="s">
        <v>114</v>
      </c>
      <c r="R168" s="251" t="s">
        <v>105</v>
      </c>
      <c r="S168" s="251" t="s">
        <v>105</v>
      </c>
      <c r="T168" s="213" t="s">
        <v>105</v>
      </c>
      <c r="U168" s="251">
        <v>45330</v>
      </c>
      <c r="V168" s="251" t="s">
        <v>105</v>
      </c>
      <c r="W168" s="251">
        <v>45334</v>
      </c>
      <c r="X168" s="251">
        <v>45352</v>
      </c>
      <c r="Y168" s="236" t="s">
        <v>220</v>
      </c>
      <c r="Z168" s="236"/>
      <c r="AA168" s="232"/>
      <c r="AB168" s="219" t="s">
        <v>931</v>
      </c>
      <c r="AC168" s="219" t="s">
        <v>932</v>
      </c>
      <c r="AD168" s="219" t="s">
        <v>933</v>
      </c>
      <c r="AE168" s="220" t="s">
        <v>12</v>
      </c>
      <c r="AF168" s="232" t="s">
        <v>4</v>
      </c>
      <c r="AG168" s="230">
        <v>0</v>
      </c>
      <c r="AH168" s="230">
        <v>0</v>
      </c>
      <c r="AI168" s="232" t="s">
        <v>23</v>
      </c>
      <c r="AJ168" s="230" t="s">
        <v>104</v>
      </c>
      <c r="AK168" s="232" t="s">
        <v>105</v>
      </c>
      <c r="AL168" s="232" t="s">
        <v>24</v>
      </c>
      <c r="AM168" s="232" t="s">
        <v>24</v>
      </c>
      <c r="AN168" s="232" t="s">
        <v>24</v>
      </c>
      <c r="AO168" s="232"/>
      <c r="AP168" s="234" t="s">
        <v>24</v>
      </c>
      <c r="AQ168" s="232" t="s">
        <v>24</v>
      </c>
      <c r="AR168" s="232" t="s">
        <v>24</v>
      </c>
      <c r="AS168" s="232" t="s">
        <v>24</v>
      </c>
      <c r="AT168" s="232" t="s">
        <v>24</v>
      </c>
      <c r="AU168" s="232" t="s">
        <v>24</v>
      </c>
      <c r="AV168" s="232" t="s">
        <v>24</v>
      </c>
      <c r="AW168" s="232" t="s">
        <v>24</v>
      </c>
      <c r="AX168" s="251">
        <v>45352</v>
      </c>
      <c r="AY168" s="232"/>
      <c r="AZ168" s="233"/>
      <c r="BA168" s="232"/>
      <c r="BB168" s="232"/>
      <c r="BC168" s="218" t="str">
        <f t="shared" si="16"/>
        <v/>
      </c>
      <c r="BD168" s="210" t="str">
        <f t="shared" si="15"/>
        <v>AA</v>
      </c>
      <c r="BE168" s="210" t="str">
        <f t="shared" si="14"/>
        <v>NÃO</v>
      </c>
      <c r="BF168" s="210"/>
      <c r="BG168" s="210"/>
      <c r="BH168" s="210"/>
      <c r="BI168" s="210"/>
      <c r="BJ168" s="210"/>
      <c r="BK168" s="210"/>
      <c r="BL168" s="210"/>
      <c r="BM168" s="210"/>
      <c r="BN168" s="232"/>
      <c r="BO168" s="232"/>
      <c r="BP168" s="232"/>
      <c r="BQ168" s="232"/>
      <c r="BR168" s="232"/>
      <c r="BS168" s="232"/>
      <c r="BT168" s="232"/>
      <c r="BU168" s="232"/>
      <c r="BV168" s="232"/>
      <c r="BW168" s="232"/>
      <c r="BX168" s="232"/>
      <c r="BY168" s="232"/>
    </row>
    <row r="169" spans="1:77" ht="35.25" hidden="1" customHeight="1" x14ac:dyDescent="0.25">
      <c r="A169" s="210">
        <v>156</v>
      </c>
      <c r="B169" s="210" t="s">
        <v>99</v>
      </c>
      <c r="C169" s="210">
        <v>2</v>
      </c>
      <c r="D169" s="210">
        <v>0</v>
      </c>
      <c r="E169" s="210">
        <v>0</v>
      </c>
      <c r="F169" s="219" t="s">
        <v>934</v>
      </c>
      <c r="G169" s="210" t="s">
        <v>1</v>
      </c>
      <c r="H169" s="210" t="s">
        <v>2</v>
      </c>
      <c r="I169" s="210" t="s">
        <v>121</v>
      </c>
      <c r="J169" s="219" t="s">
        <v>935</v>
      </c>
      <c r="K169" s="219" t="s">
        <v>936</v>
      </c>
      <c r="L169" s="219" t="s">
        <v>937</v>
      </c>
      <c r="M169" s="232" t="s">
        <v>4</v>
      </c>
      <c r="N169" s="232" t="s">
        <v>14</v>
      </c>
      <c r="O169" s="213">
        <v>45019</v>
      </c>
      <c r="P169" s="251">
        <v>45238</v>
      </c>
      <c r="Q169" s="229" t="s">
        <v>114</v>
      </c>
      <c r="R169" s="233" t="s">
        <v>105</v>
      </c>
      <c r="S169" s="233" t="s">
        <v>105</v>
      </c>
      <c r="T169" s="213" t="s">
        <v>105</v>
      </c>
      <c r="U169" s="251">
        <v>45264</v>
      </c>
      <c r="V169" s="213" t="s">
        <v>105</v>
      </c>
      <c r="W169" s="233">
        <v>45265</v>
      </c>
      <c r="X169" s="233">
        <v>45275</v>
      </c>
      <c r="Y169" s="236" t="s">
        <v>220</v>
      </c>
      <c r="Z169" s="236"/>
      <c r="AA169" s="232"/>
      <c r="AB169" s="219" t="s">
        <v>938</v>
      </c>
      <c r="AC169" s="219" t="s">
        <v>939</v>
      </c>
      <c r="AD169" s="219" t="s">
        <v>940</v>
      </c>
      <c r="AE169" s="210" t="s">
        <v>547</v>
      </c>
      <c r="AF169" s="232" t="s">
        <v>4</v>
      </c>
      <c r="AG169" s="230">
        <v>29900</v>
      </c>
      <c r="AH169" s="230">
        <v>29900</v>
      </c>
      <c r="AI169" s="232" t="s">
        <v>941</v>
      </c>
      <c r="AJ169" s="230" t="s">
        <v>104</v>
      </c>
      <c r="AK169" s="232" t="s">
        <v>105</v>
      </c>
      <c r="AL169" s="232" t="s">
        <v>24</v>
      </c>
      <c r="AM169" s="232" t="s">
        <v>24</v>
      </c>
      <c r="AN169" s="232" t="s">
        <v>24</v>
      </c>
      <c r="AO169" s="232" t="s">
        <v>941</v>
      </c>
      <c r="AP169" s="234" t="s">
        <v>24</v>
      </c>
      <c r="AQ169" s="232" t="s">
        <v>24</v>
      </c>
      <c r="AR169" s="232" t="s">
        <v>24</v>
      </c>
      <c r="AS169" s="232" t="s">
        <v>24</v>
      </c>
      <c r="AT169" s="232" t="s">
        <v>24</v>
      </c>
      <c r="AU169" s="232" t="s">
        <v>24</v>
      </c>
      <c r="AV169" s="232" t="s">
        <v>24</v>
      </c>
      <c r="AW169" s="232" t="s">
        <v>24</v>
      </c>
      <c r="AX169" s="232" t="s">
        <v>24</v>
      </c>
      <c r="AY169" s="232" t="s">
        <v>24</v>
      </c>
      <c r="AZ169" s="235" t="s">
        <v>220</v>
      </c>
      <c r="BA169" s="235" t="s">
        <v>502</v>
      </c>
      <c r="BB169" s="217" t="s">
        <v>105</v>
      </c>
      <c r="BC169" s="218" t="s">
        <v>24</v>
      </c>
      <c r="BD169" s="210" t="str">
        <f t="shared" si="15"/>
        <v>INDENIZAÇÃO</v>
      </c>
      <c r="BE169" s="210" t="str">
        <f t="shared" si="14"/>
        <v>NÃO</v>
      </c>
      <c r="BF169" s="232" t="s">
        <v>24</v>
      </c>
      <c r="BG169" s="232" t="s">
        <v>24</v>
      </c>
      <c r="BH169" s="232" t="s">
        <v>24</v>
      </c>
      <c r="BI169" s="232" t="s">
        <v>24</v>
      </c>
      <c r="BJ169" s="232" t="s">
        <v>24</v>
      </c>
      <c r="BK169" s="232" t="s">
        <v>24</v>
      </c>
      <c r="BL169" s="232" t="s">
        <v>24</v>
      </c>
      <c r="BM169" s="232"/>
      <c r="BN169" s="232"/>
      <c r="BO169" s="232"/>
      <c r="BP169" s="232"/>
      <c r="BQ169" s="232"/>
      <c r="BR169" s="232"/>
      <c r="BS169" s="232"/>
      <c r="BT169" s="232"/>
      <c r="BU169" s="232"/>
      <c r="BV169" s="232"/>
      <c r="BW169" s="232"/>
      <c r="BX169" s="232"/>
      <c r="BY169" s="232"/>
    </row>
    <row r="170" spans="1:77" ht="35.25" customHeight="1" x14ac:dyDescent="0.25">
      <c r="A170" s="210">
        <v>157</v>
      </c>
      <c r="B170" s="210" t="s">
        <v>99</v>
      </c>
      <c r="C170" s="210">
        <v>2</v>
      </c>
      <c r="D170" s="210">
        <v>0</v>
      </c>
      <c r="E170" s="210">
        <v>0</v>
      </c>
      <c r="F170" s="219" t="s">
        <v>942</v>
      </c>
      <c r="G170" s="210" t="s">
        <v>1</v>
      </c>
      <c r="H170" s="210" t="s">
        <v>2</v>
      </c>
      <c r="I170" s="210" t="s">
        <v>121</v>
      </c>
      <c r="J170" s="219" t="s">
        <v>943</v>
      </c>
      <c r="K170" s="219" t="s">
        <v>944</v>
      </c>
      <c r="L170" s="219" t="s">
        <v>945</v>
      </c>
      <c r="M170" s="232" t="s">
        <v>4</v>
      </c>
      <c r="N170" s="232" t="s">
        <v>14</v>
      </c>
      <c r="O170" s="213">
        <v>45216</v>
      </c>
      <c r="P170" s="251">
        <v>45238</v>
      </c>
      <c r="Q170" s="229" t="s">
        <v>114</v>
      </c>
      <c r="R170" s="233" t="s">
        <v>105</v>
      </c>
      <c r="S170" s="233" t="s">
        <v>105</v>
      </c>
      <c r="T170" s="213" t="s">
        <v>105</v>
      </c>
      <c r="U170" s="251">
        <v>45264</v>
      </c>
      <c r="V170" s="213" t="s">
        <v>105</v>
      </c>
      <c r="W170" s="233">
        <v>45265</v>
      </c>
      <c r="X170" s="233">
        <v>45275</v>
      </c>
      <c r="Y170" s="236" t="s">
        <v>220</v>
      </c>
      <c r="Z170" s="236"/>
      <c r="AA170" s="232"/>
      <c r="AB170" s="219" t="s">
        <v>938</v>
      </c>
      <c r="AC170" s="219" t="s">
        <v>939</v>
      </c>
      <c r="AD170" s="219" t="s">
        <v>940</v>
      </c>
      <c r="AE170" s="210" t="s">
        <v>547</v>
      </c>
      <c r="AF170" s="232" t="s">
        <v>4</v>
      </c>
      <c r="AG170" s="230">
        <v>51900</v>
      </c>
      <c r="AH170" s="230">
        <v>51900</v>
      </c>
      <c r="AI170" s="232" t="s">
        <v>6</v>
      </c>
      <c r="AJ170" s="230" t="s">
        <v>104</v>
      </c>
      <c r="AK170" s="232" t="s">
        <v>105</v>
      </c>
      <c r="AL170" s="232" t="s">
        <v>105</v>
      </c>
      <c r="AM170" s="232" t="s">
        <v>105</v>
      </c>
      <c r="AN170" s="232" t="s">
        <v>106</v>
      </c>
      <c r="AO170" s="259" t="s">
        <v>946</v>
      </c>
      <c r="AP170" s="234" t="s">
        <v>947</v>
      </c>
      <c r="AQ170" s="232" t="s">
        <v>105</v>
      </c>
      <c r="AR170" s="232" t="s">
        <v>105</v>
      </c>
      <c r="AS170" s="210" t="s">
        <v>105</v>
      </c>
      <c r="AT170" s="210" t="s">
        <v>105</v>
      </c>
      <c r="AU170" s="213">
        <v>45587</v>
      </c>
      <c r="AV170" s="210" t="s">
        <v>105</v>
      </c>
      <c r="AW170" s="210" t="s">
        <v>105</v>
      </c>
      <c r="AX170" s="213">
        <v>45600</v>
      </c>
      <c r="AY170" s="221">
        <v>45600</v>
      </c>
      <c r="AZ170" s="221" t="s">
        <v>220</v>
      </c>
      <c r="BA170" s="235" t="s">
        <v>502</v>
      </c>
      <c r="BB170" s="217" t="s">
        <v>105</v>
      </c>
      <c r="BC170" s="218">
        <f t="shared" ref="BC170:BC199" si="17">IF(AY170-ON170=0,"",AY170-O170)</f>
        <v>384</v>
      </c>
      <c r="BD170" s="210" t="str">
        <f t="shared" si="15"/>
        <v>INDENIZAÇÃO</v>
      </c>
      <c r="BE170" s="210" t="str">
        <f t="shared" si="14"/>
        <v>NÃO</v>
      </c>
      <c r="BF170" s="210" t="s">
        <v>24</v>
      </c>
      <c r="BG170" s="210" t="s">
        <v>24</v>
      </c>
      <c r="BH170" s="210" t="s">
        <v>24</v>
      </c>
      <c r="BI170" s="210" t="s">
        <v>105</v>
      </c>
      <c r="BJ170" s="210" t="s">
        <v>105</v>
      </c>
      <c r="BK170" s="213">
        <v>45652</v>
      </c>
      <c r="BL170" s="210" t="s">
        <v>105</v>
      </c>
      <c r="BM170" s="241" t="s">
        <v>220</v>
      </c>
      <c r="BN170" s="232"/>
      <c r="BO170" s="232"/>
      <c r="BP170" s="232"/>
      <c r="BQ170" s="232"/>
      <c r="BR170" s="232"/>
      <c r="BS170" s="232"/>
      <c r="BT170" s="232"/>
      <c r="BU170" s="232"/>
      <c r="BV170" s="232"/>
      <c r="BW170" s="232"/>
      <c r="BX170" s="232"/>
      <c r="BY170" s="232"/>
    </row>
    <row r="171" spans="1:77" s="258" customFormat="1" ht="35.25" hidden="1" customHeight="1" x14ac:dyDescent="0.25">
      <c r="A171" s="210">
        <v>158</v>
      </c>
      <c r="B171" s="228" t="s">
        <v>99</v>
      </c>
      <c r="C171" s="228">
        <v>2</v>
      </c>
      <c r="D171" s="228">
        <v>0</v>
      </c>
      <c r="E171" s="228">
        <v>0</v>
      </c>
      <c r="F171" s="215" t="s">
        <v>948</v>
      </c>
      <c r="G171" s="228" t="s">
        <v>1</v>
      </c>
      <c r="H171" s="228" t="s">
        <v>2</v>
      </c>
      <c r="I171" s="210" t="s">
        <v>12</v>
      </c>
      <c r="J171" s="215" t="s">
        <v>949</v>
      </c>
      <c r="K171" s="215" t="s">
        <v>950</v>
      </c>
      <c r="L171" s="215" t="s">
        <v>951</v>
      </c>
      <c r="M171" s="250" t="s">
        <v>4</v>
      </c>
      <c r="N171" s="220" t="s">
        <v>14</v>
      </c>
      <c r="O171" s="229"/>
      <c r="P171" s="251">
        <v>45238</v>
      </c>
      <c r="Q171" s="229" t="s">
        <v>114</v>
      </c>
      <c r="R171" s="251" t="s">
        <v>105</v>
      </c>
      <c r="S171" s="251" t="s">
        <v>105</v>
      </c>
      <c r="T171" s="213" t="s">
        <v>105</v>
      </c>
      <c r="U171" s="236">
        <v>45264</v>
      </c>
      <c r="V171" s="236" t="s">
        <v>105</v>
      </c>
      <c r="W171" s="236">
        <v>45264</v>
      </c>
      <c r="X171" s="236">
        <v>45345</v>
      </c>
      <c r="Y171" s="236">
        <v>45351</v>
      </c>
      <c r="Z171" s="236"/>
      <c r="AA171" s="250"/>
      <c r="AB171" s="215" t="s">
        <v>949</v>
      </c>
      <c r="AC171" s="215" t="s">
        <v>950</v>
      </c>
      <c r="AD171" s="215" t="s">
        <v>951</v>
      </c>
      <c r="AE171" s="228" t="s">
        <v>12</v>
      </c>
      <c r="AF171" s="250"/>
      <c r="AG171" s="293" t="s">
        <v>139</v>
      </c>
      <c r="AH171" s="293" t="s">
        <v>139</v>
      </c>
      <c r="AI171" s="250"/>
      <c r="AJ171" s="230" t="s">
        <v>104</v>
      </c>
      <c r="AK171" s="250"/>
      <c r="AL171" s="250"/>
      <c r="AM171" s="250"/>
      <c r="AN171" s="250"/>
      <c r="AO171" s="250"/>
      <c r="AP171" s="249"/>
      <c r="AQ171" s="250"/>
      <c r="AR171" s="250"/>
      <c r="AS171" s="250"/>
      <c r="AT171" s="250"/>
      <c r="AU171" s="250"/>
      <c r="AV171" s="250"/>
      <c r="AW171" s="250"/>
      <c r="AX171" s="251"/>
      <c r="AY171" s="250"/>
      <c r="AZ171" s="251"/>
      <c r="BA171" s="250"/>
      <c r="BB171" s="250" t="s">
        <v>467</v>
      </c>
      <c r="BC171" s="218" t="str">
        <f t="shared" si="17"/>
        <v/>
      </c>
      <c r="BD171" s="210" t="str">
        <f t="shared" si="15"/>
        <v>INDENIZAÇÃO</v>
      </c>
      <c r="BE171" s="210" t="str">
        <f t="shared" si="14"/>
        <v>NÃO</v>
      </c>
      <c r="BF171" s="228"/>
      <c r="BG171" s="228"/>
      <c r="BH171" s="228"/>
      <c r="BI171" s="228"/>
      <c r="BJ171" s="228"/>
      <c r="BK171" s="228"/>
      <c r="BL171" s="228"/>
      <c r="BM171" s="228"/>
      <c r="BN171" s="250"/>
      <c r="BO171" s="250"/>
      <c r="BP171" s="250"/>
      <c r="BQ171" s="250"/>
      <c r="BR171" s="250"/>
      <c r="BS171" s="250"/>
      <c r="BT171" s="250"/>
      <c r="BU171" s="250"/>
      <c r="BV171" s="250"/>
      <c r="BW171" s="250"/>
      <c r="BX171" s="250"/>
      <c r="BY171" s="250"/>
    </row>
    <row r="172" spans="1:77" ht="35.25" customHeight="1" x14ac:dyDescent="0.25">
      <c r="A172" s="210">
        <v>159</v>
      </c>
      <c r="B172" s="210" t="s">
        <v>99</v>
      </c>
      <c r="C172" s="210">
        <v>2</v>
      </c>
      <c r="D172" s="210">
        <v>0</v>
      </c>
      <c r="E172" s="210">
        <v>0</v>
      </c>
      <c r="F172" s="219" t="s">
        <v>952</v>
      </c>
      <c r="G172" s="220" t="s">
        <v>1</v>
      </c>
      <c r="H172" s="220" t="s">
        <v>2</v>
      </c>
      <c r="I172" s="210" t="s">
        <v>12</v>
      </c>
      <c r="J172" s="219" t="s">
        <v>953</v>
      </c>
      <c r="K172" s="219" t="s">
        <v>954</v>
      </c>
      <c r="L172" s="219" t="s">
        <v>955</v>
      </c>
      <c r="M172" s="232" t="s">
        <v>4</v>
      </c>
      <c r="N172" s="232" t="s">
        <v>5</v>
      </c>
      <c r="O172" s="213">
        <v>45057</v>
      </c>
      <c r="P172" s="233" t="s">
        <v>24</v>
      </c>
      <c r="Q172" s="233" t="s">
        <v>24</v>
      </c>
      <c r="R172" s="233" t="s">
        <v>24</v>
      </c>
      <c r="S172" s="233" t="s">
        <v>24</v>
      </c>
      <c r="T172" s="233" t="s">
        <v>24</v>
      </c>
      <c r="U172" s="233" t="s">
        <v>24</v>
      </c>
      <c r="V172" s="233" t="s">
        <v>24</v>
      </c>
      <c r="W172" s="233" t="s">
        <v>24</v>
      </c>
      <c r="X172" s="233" t="s">
        <v>24</v>
      </c>
      <c r="Y172" s="233" t="s">
        <v>24</v>
      </c>
      <c r="Z172" s="233" t="s">
        <v>24</v>
      </c>
      <c r="AA172" s="232"/>
      <c r="AB172" s="219" t="s">
        <v>953</v>
      </c>
      <c r="AC172" s="219" t="s">
        <v>954</v>
      </c>
      <c r="AD172" s="219" t="s">
        <v>955</v>
      </c>
      <c r="AE172" s="220" t="s">
        <v>12</v>
      </c>
      <c r="AF172" s="232" t="s">
        <v>4</v>
      </c>
      <c r="AG172" s="230">
        <f>AH172-30000</f>
        <v>3500</v>
      </c>
      <c r="AH172" s="230">
        <v>33500</v>
      </c>
      <c r="AI172" s="232" t="s">
        <v>6</v>
      </c>
      <c r="AJ172" s="230" t="s">
        <v>104</v>
      </c>
      <c r="AK172" s="232" t="s">
        <v>105</v>
      </c>
      <c r="AL172" s="232" t="s">
        <v>105</v>
      </c>
      <c r="AM172" s="232" t="s">
        <v>105</v>
      </c>
      <c r="AN172" s="232" t="s">
        <v>106</v>
      </c>
      <c r="AO172" s="250" t="s">
        <v>956</v>
      </c>
      <c r="AP172" s="234" t="s">
        <v>957</v>
      </c>
      <c r="AQ172" s="232" t="s">
        <v>105</v>
      </c>
      <c r="AR172" s="232" t="s">
        <v>105</v>
      </c>
      <c r="AS172" s="210" t="s">
        <v>105</v>
      </c>
      <c r="AT172" s="210" t="s">
        <v>105</v>
      </c>
      <c r="AU172" s="213">
        <v>45114</v>
      </c>
      <c r="AV172" s="210" t="s">
        <v>105</v>
      </c>
      <c r="AW172" s="210" t="s">
        <v>105</v>
      </c>
      <c r="AX172" s="213">
        <v>45119</v>
      </c>
      <c r="AY172" s="213">
        <v>45139</v>
      </c>
      <c r="AZ172" s="233">
        <v>45079</v>
      </c>
      <c r="BA172" s="232" t="s">
        <v>30</v>
      </c>
      <c r="BB172" s="217" t="s">
        <v>105</v>
      </c>
      <c r="BC172" s="218">
        <f t="shared" si="17"/>
        <v>82</v>
      </c>
      <c r="BD172" s="210" t="str">
        <f t="shared" si="15"/>
        <v>INDENIZAÇÃO</v>
      </c>
      <c r="BE172" s="210" t="str">
        <f t="shared" si="14"/>
        <v>NÃO</v>
      </c>
      <c r="BF172" s="210" t="s">
        <v>24</v>
      </c>
      <c r="BG172" s="210" t="s">
        <v>24</v>
      </c>
      <c r="BH172" s="210" t="s">
        <v>24</v>
      </c>
      <c r="BI172" s="254" t="s">
        <v>105</v>
      </c>
      <c r="BJ172" s="210" t="s">
        <v>105</v>
      </c>
      <c r="BK172" s="253">
        <v>45190</v>
      </c>
      <c r="BL172" s="254" t="s">
        <v>105</v>
      </c>
      <c r="BM172" s="266" t="s">
        <v>105</v>
      </c>
      <c r="BN172" s="232"/>
      <c r="BO172" s="232"/>
      <c r="BP172" s="232"/>
      <c r="BQ172" s="232"/>
      <c r="BR172" s="232"/>
      <c r="BS172" s="232"/>
      <c r="BT172" s="232"/>
      <c r="BU172" s="232"/>
      <c r="BV172" s="232"/>
      <c r="BW172" s="232"/>
      <c r="BX172" s="232"/>
      <c r="BY172" s="232"/>
    </row>
    <row r="173" spans="1:77" ht="35.25" customHeight="1" x14ac:dyDescent="0.25">
      <c r="A173" s="210">
        <v>160</v>
      </c>
      <c r="B173" s="210" t="s">
        <v>99</v>
      </c>
      <c r="C173" s="210">
        <v>2</v>
      </c>
      <c r="D173" s="210">
        <v>0</v>
      </c>
      <c r="E173" s="210">
        <v>0</v>
      </c>
      <c r="F173" s="219" t="s">
        <v>958</v>
      </c>
      <c r="G173" s="220" t="s">
        <v>1</v>
      </c>
      <c r="H173" s="220" t="s">
        <v>2</v>
      </c>
      <c r="I173" s="210" t="s">
        <v>12</v>
      </c>
      <c r="J173" s="219" t="s">
        <v>959</v>
      </c>
      <c r="K173" s="219" t="s">
        <v>960</v>
      </c>
      <c r="L173" s="219" t="s">
        <v>961</v>
      </c>
      <c r="M173" s="232" t="s">
        <v>4</v>
      </c>
      <c r="N173" s="246" t="s">
        <v>962</v>
      </c>
      <c r="O173" s="213">
        <v>45077</v>
      </c>
      <c r="P173" s="233" t="s">
        <v>24</v>
      </c>
      <c r="Q173" s="233" t="s">
        <v>24</v>
      </c>
      <c r="R173" s="233" t="s">
        <v>24</v>
      </c>
      <c r="S173" s="233" t="s">
        <v>24</v>
      </c>
      <c r="T173" s="233" t="s">
        <v>24</v>
      </c>
      <c r="U173" s="233" t="s">
        <v>24</v>
      </c>
      <c r="V173" s="233" t="s">
        <v>24</v>
      </c>
      <c r="W173" s="233" t="s">
        <v>24</v>
      </c>
      <c r="X173" s="233" t="s">
        <v>24</v>
      </c>
      <c r="Y173" s="233" t="s">
        <v>24</v>
      </c>
      <c r="Z173" s="233" t="s">
        <v>24</v>
      </c>
      <c r="AA173" s="232" t="s">
        <v>963</v>
      </c>
      <c r="AB173" s="219" t="s">
        <v>959</v>
      </c>
      <c r="AC173" s="219" t="s">
        <v>960</v>
      </c>
      <c r="AD173" s="219" t="s">
        <v>961</v>
      </c>
      <c r="AE173" s="220" t="s">
        <v>12</v>
      </c>
      <c r="AF173" s="232" t="s">
        <v>4</v>
      </c>
      <c r="AG173" s="230">
        <v>700</v>
      </c>
      <c r="AH173" s="230">
        <f>AG173+30000</f>
        <v>30700</v>
      </c>
      <c r="AI173" s="232" t="s">
        <v>6</v>
      </c>
      <c r="AJ173" s="230" t="s">
        <v>104</v>
      </c>
      <c r="AK173" s="232" t="s">
        <v>105</v>
      </c>
      <c r="AL173" s="232" t="s">
        <v>105</v>
      </c>
      <c r="AM173" s="232" t="s">
        <v>105</v>
      </c>
      <c r="AN173" s="232" t="s">
        <v>106</v>
      </c>
      <c r="AO173" s="232"/>
      <c r="AP173" s="249" t="s">
        <v>964</v>
      </c>
      <c r="AQ173" s="250" t="s">
        <v>105</v>
      </c>
      <c r="AR173" s="250" t="s">
        <v>105</v>
      </c>
      <c r="AS173" s="250" t="s">
        <v>105</v>
      </c>
      <c r="AT173" s="250" t="s">
        <v>105</v>
      </c>
      <c r="AU173" s="213">
        <v>45273</v>
      </c>
      <c r="AV173" s="250" t="s">
        <v>105</v>
      </c>
      <c r="AW173" s="228" t="s">
        <v>105</v>
      </c>
      <c r="AX173" s="229">
        <v>45294</v>
      </c>
      <c r="AY173" s="236">
        <v>45300</v>
      </c>
      <c r="AZ173" s="233">
        <v>45041</v>
      </c>
      <c r="BA173" s="232" t="s">
        <v>30</v>
      </c>
      <c r="BB173" s="217" t="s">
        <v>105</v>
      </c>
      <c r="BC173" s="218">
        <f t="shared" si="17"/>
        <v>223</v>
      </c>
      <c r="BD173" s="210" t="str">
        <f t="shared" si="15"/>
        <v>INDENIZAÇÃO</v>
      </c>
      <c r="BE173" s="210" t="str">
        <f t="shared" si="14"/>
        <v>SIM</v>
      </c>
      <c r="BF173" s="210" t="s">
        <v>105</v>
      </c>
      <c r="BG173" s="229">
        <v>45387</v>
      </c>
      <c r="BH173" s="229">
        <v>45390</v>
      </c>
      <c r="BI173" s="210" t="s">
        <v>105</v>
      </c>
      <c r="BJ173" s="210" t="s">
        <v>105</v>
      </c>
      <c r="BK173" s="213">
        <v>45510</v>
      </c>
      <c r="BL173" s="210" t="s">
        <v>105</v>
      </c>
      <c r="BM173" s="266" t="s">
        <v>105</v>
      </c>
      <c r="BN173" s="232"/>
      <c r="BO173" s="232"/>
      <c r="BP173" s="232"/>
      <c r="BQ173" s="232"/>
      <c r="BR173" s="232"/>
      <c r="BS173" s="232"/>
      <c r="BT173" s="232"/>
      <c r="BU173" s="232"/>
      <c r="BV173" s="232"/>
      <c r="BW173" s="232"/>
      <c r="BX173" s="232"/>
      <c r="BY173" s="232"/>
    </row>
    <row r="174" spans="1:77" ht="35.25" customHeight="1" x14ac:dyDescent="0.25">
      <c r="A174" s="210">
        <v>161</v>
      </c>
      <c r="B174" s="210" t="s">
        <v>99</v>
      </c>
      <c r="C174" s="210">
        <v>2</v>
      </c>
      <c r="D174" s="210">
        <v>0</v>
      </c>
      <c r="E174" s="210">
        <v>0</v>
      </c>
      <c r="F174" s="219" t="s">
        <v>965</v>
      </c>
      <c r="G174" s="220" t="s">
        <v>1</v>
      </c>
      <c r="H174" s="220" t="s">
        <v>2</v>
      </c>
      <c r="I174" s="210" t="s">
        <v>12</v>
      </c>
      <c r="J174" s="219" t="s">
        <v>966</v>
      </c>
      <c r="K174" s="219" t="s">
        <v>967</v>
      </c>
      <c r="L174" s="219" t="s">
        <v>968</v>
      </c>
      <c r="M174" s="232" t="s">
        <v>4</v>
      </c>
      <c r="N174" s="232" t="s">
        <v>5</v>
      </c>
      <c r="O174" s="213">
        <v>45077</v>
      </c>
      <c r="P174" s="233" t="s">
        <v>24</v>
      </c>
      <c r="Q174" s="233" t="s">
        <v>24</v>
      </c>
      <c r="R174" s="233" t="s">
        <v>24</v>
      </c>
      <c r="S174" s="233" t="s">
        <v>24</v>
      </c>
      <c r="T174" s="233" t="s">
        <v>24</v>
      </c>
      <c r="U174" s="233" t="s">
        <v>24</v>
      </c>
      <c r="V174" s="233" t="s">
        <v>24</v>
      </c>
      <c r="W174" s="233" t="s">
        <v>24</v>
      </c>
      <c r="X174" s="233" t="s">
        <v>24</v>
      </c>
      <c r="Y174" s="233" t="s">
        <v>24</v>
      </c>
      <c r="Z174" s="233" t="s">
        <v>24</v>
      </c>
      <c r="AA174" s="232"/>
      <c r="AB174" s="219" t="s">
        <v>966</v>
      </c>
      <c r="AC174" s="219" t="s">
        <v>967</v>
      </c>
      <c r="AD174" s="219" t="s">
        <v>968</v>
      </c>
      <c r="AE174" s="220" t="s">
        <v>12</v>
      </c>
      <c r="AF174" s="232" t="s">
        <v>4</v>
      </c>
      <c r="AG174" s="230">
        <f t="shared" ref="AG174:AG179" si="18">AH174-30000</f>
        <v>1100</v>
      </c>
      <c r="AH174" s="230">
        <v>31100</v>
      </c>
      <c r="AI174" s="232" t="s">
        <v>6</v>
      </c>
      <c r="AJ174" s="230" t="s">
        <v>104</v>
      </c>
      <c r="AK174" s="232" t="s">
        <v>105</v>
      </c>
      <c r="AL174" s="232" t="s">
        <v>105</v>
      </c>
      <c r="AM174" s="232" t="s">
        <v>105</v>
      </c>
      <c r="AN174" s="232" t="s">
        <v>106</v>
      </c>
      <c r="AO174" s="232"/>
      <c r="AP174" s="234" t="s">
        <v>969</v>
      </c>
      <c r="AQ174" s="232" t="s">
        <v>105</v>
      </c>
      <c r="AR174" s="232" t="s">
        <v>105</v>
      </c>
      <c r="AS174" s="210" t="s">
        <v>105</v>
      </c>
      <c r="AT174" s="210" t="s">
        <v>105</v>
      </c>
      <c r="AU174" s="213">
        <v>45114</v>
      </c>
      <c r="AV174" s="210" t="s">
        <v>105</v>
      </c>
      <c r="AW174" s="210" t="s">
        <v>105</v>
      </c>
      <c r="AX174" s="213">
        <v>45119</v>
      </c>
      <c r="AY174" s="213">
        <v>45139</v>
      </c>
      <c r="AZ174" s="233">
        <v>45044</v>
      </c>
      <c r="BA174" s="232" t="s">
        <v>30</v>
      </c>
      <c r="BB174" s="217" t="s">
        <v>105</v>
      </c>
      <c r="BC174" s="218">
        <f t="shared" si="17"/>
        <v>62</v>
      </c>
      <c r="BD174" s="210" t="str">
        <f t="shared" si="15"/>
        <v>INDENIZAÇÃO</v>
      </c>
      <c r="BE174" s="210" t="str">
        <f t="shared" si="14"/>
        <v>NÃO</v>
      </c>
      <c r="BF174" s="210" t="s">
        <v>24</v>
      </c>
      <c r="BG174" s="210" t="s">
        <v>24</v>
      </c>
      <c r="BH174" s="210" t="s">
        <v>24</v>
      </c>
      <c r="BI174" s="210" t="s">
        <v>105</v>
      </c>
      <c r="BJ174" s="210" t="s">
        <v>105</v>
      </c>
      <c r="BK174" s="253">
        <v>45190</v>
      </c>
      <c r="BL174" s="210" t="s">
        <v>105</v>
      </c>
      <c r="BM174" s="266" t="s">
        <v>105</v>
      </c>
      <c r="BN174" s="232"/>
      <c r="BO174" s="232"/>
      <c r="BP174" s="232"/>
      <c r="BQ174" s="232"/>
      <c r="BR174" s="232"/>
      <c r="BS174" s="232"/>
      <c r="BT174" s="232"/>
      <c r="BU174" s="232"/>
      <c r="BV174" s="232"/>
      <c r="BW174" s="232"/>
      <c r="BX174" s="232"/>
      <c r="BY174" s="232"/>
    </row>
    <row r="175" spans="1:77" ht="35.25" hidden="1" customHeight="1" x14ac:dyDescent="0.25">
      <c r="A175" s="210">
        <v>162</v>
      </c>
      <c r="B175" s="210" t="s">
        <v>99</v>
      </c>
      <c r="C175" s="210">
        <v>2</v>
      </c>
      <c r="D175" s="210">
        <v>0</v>
      </c>
      <c r="E175" s="210">
        <v>0</v>
      </c>
      <c r="F175" s="219" t="s">
        <v>970</v>
      </c>
      <c r="G175" s="220" t="s">
        <v>1</v>
      </c>
      <c r="H175" s="220" t="s">
        <v>2</v>
      </c>
      <c r="I175" s="210" t="s">
        <v>121</v>
      </c>
      <c r="J175" s="219" t="s">
        <v>971</v>
      </c>
      <c r="K175" s="219" t="s">
        <v>972</v>
      </c>
      <c r="L175" s="219" t="s">
        <v>973</v>
      </c>
      <c r="M175" s="232" t="s">
        <v>4</v>
      </c>
      <c r="N175" s="232" t="s">
        <v>14</v>
      </c>
      <c r="O175" s="213">
        <v>45033</v>
      </c>
      <c r="P175" s="233">
        <v>45033</v>
      </c>
      <c r="Q175" s="213" t="s">
        <v>114</v>
      </c>
      <c r="R175" s="213" t="s">
        <v>105</v>
      </c>
      <c r="S175" s="213" t="s">
        <v>105</v>
      </c>
      <c r="T175" s="213" t="s">
        <v>105</v>
      </c>
      <c r="U175" s="233" t="s">
        <v>267</v>
      </c>
      <c r="V175" s="213" t="s">
        <v>105</v>
      </c>
      <c r="W175" s="213">
        <v>45049</v>
      </c>
      <c r="X175" s="213">
        <v>45068</v>
      </c>
      <c r="Y175" s="213">
        <v>45068</v>
      </c>
      <c r="Z175" s="233">
        <v>45041</v>
      </c>
      <c r="AA175" s="232"/>
      <c r="AB175" s="219" t="s">
        <v>974</v>
      </c>
      <c r="AC175" s="219" t="s">
        <v>975</v>
      </c>
      <c r="AD175" s="219" t="s">
        <v>976</v>
      </c>
      <c r="AE175" s="220" t="s">
        <v>3</v>
      </c>
      <c r="AF175" s="228" t="s">
        <v>139</v>
      </c>
      <c r="AG175" s="230">
        <f t="shared" si="18"/>
        <v>2200</v>
      </c>
      <c r="AH175" s="230">
        <v>32200</v>
      </c>
      <c r="AI175" s="252" t="s">
        <v>977</v>
      </c>
      <c r="AJ175" s="230" t="s">
        <v>104</v>
      </c>
      <c r="AK175" s="228"/>
      <c r="AL175" s="228"/>
      <c r="AM175" s="228"/>
      <c r="AN175" s="228"/>
      <c r="AO175" s="252" t="s">
        <v>977</v>
      </c>
      <c r="AP175" s="234"/>
      <c r="AQ175" s="232"/>
      <c r="AR175" s="232"/>
      <c r="AS175" s="232"/>
      <c r="AT175" s="232"/>
      <c r="AU175" s="232"/>
      <c r="AV175" s="232"/>
      <c r="AW175" s="232"/>
      <c r="AX175" s="233"/>
      <c r="AY175" s="232"/>
      <c r="AZ175" s="233">
        <v>45041</v>
      </c>
      <c r="BA175" s="232" t="s">
        <v>30</v>
      </c>
      <c r="BB175" s="232"/>
      <c r="BC175" s="218" t="str">
        <f t="shared" si="17"/>
        <v/>
      </c>
      <c r="BD175" s="210" t="str">
        <f t="shared" si="15"/>
        <v>INDENIZAÇÃO</v>
      </c>
      <c r="BE175" s="210" t="str">
        <f t="shared" si="14"/>
        <v>NÃO</v>
      </c>
      <c r="BF175" s="210"/>
      <c r="BG175" s="210"/>
      <c r="BH175" s="210"/>
      <c r="BI175" s="210"/>
      <c r="BJ175" s="210"/>
      <c r="BK175" s="210"/>
      <c r="BL175" s="210"/>
      <c r="BM175" s="210"/>
      <c r="BN175" s="232"/>
      <c r="BO175" s="232"/>
      <c r="BP175" s="232"/>
      <c r="BQ175" s="232"/>
      <c r="BR175" s="232"/>
      <c r="BS175" s="232"/>
      <c r="BT175" s="232"/>
      <c r="BU175" s="232"/>
      <c r="BV175" s="232"/>
      <c r="BW175" s="232"/>
      <c r="BX175" s="232"/>
      <c r="BY175" s="232"/>
    </row>
    <row r="176" spans="1:77" ht="35.25" customHeight="1" x14ac:dyDescent="0.25">
      <c r="A176" s="210">
        <v>163</v>
      </c>
      <c r="B176" s="210" t="s">
        <v>99</v>
      </c>
      <c r="C176" s="210">
        <v>2</v>
      </c>
      <c r="D176" s="210">
        <v>0</v>
      </c>
      <c r="E176" s="210">
        <v>0</v>
      </c>
      <c r="F176" s="219" t="s">
        <v>978</v>
      </c>
      <c r="G176" s="220" t="s">
        <v>10</v>
      </c>
      <c r="H176" s="220" t="s">
        <v>2</v>
      </c>
      <c r="I176" s="220" t="s">
        <v>3</v>
      </c>
      <c r="J176" s="219" t="s">
        <v>979</v>
      </c>
      <c r="K176" s="219" t="s">
        <v>980</v>
      </c>
      <c r="L176" s="219" t="s">
        <v>981</v>
      </c>
      <c r="M176" s="232" t="s">
        <v>4</v>
      </c>
      <c r="N176" s="232" t="s">
        <v>5</v>
      </c>
      <c r="O176" s="213">
        <v>45033</v>
      </c>
      <c r="P176" s="233" t="s">
        <v>24</v>
      </c>
      <c r="Q176" s="233" t="s">
        <v>24</v>
      </c>
      <c r="R176" s="233" t="s">
        <v>24</v>
      </c>
      <c r="S176" s="233" t="s">
        <v>24</v>
      </c>
      <c r="T176" s="233" t="s">
        <v>24</v>
      </c>
      <c r="U176" s="233" t="s">
        <v>24</v>
      </c>
      <c r="V176" s="233" t="s">
        <v>24</v>
      </c>
      <c r="W176" s="233" t="s">
        <v>24</v>
      </c>
      <c r="X176" s="233" t="s">
        <v>24</v>
      </c>
      <c r="Y176" s="233" t="s">
        <v>24</v>
      </c>
      <c r="Z176" s="233" t="s">
        <v>24</v>
      </c>
      <c r="AA176" s="232"/>
      <c r="AB176" s="219" t="s">
        <v>979</v>
      </c>
      <c r="AC176" s="219" t="s">
        <v>980</v>
      </c>
      <c r="AD176" s="219" t="s">
        <v>981</v>
      </c>
      <c r="AE176" s="220" t="s">
        <v>3</v>
      </c>
      <c r="AF176" s="232" t="s">
        <v>4</v>
      </c>
      <c r="AG176" s="230">
        <f t="shared" si="18"/>
        <v>458.59000000000015</v>
      </c>
      <c r="AH176" s="230">
        <v>30458.59</v>
      </c>
      <c r="AI176" s="232" t="s">
        <v>6</v>
      </c>
      <c r="AJ176" s="230" t="s">
        <v>104</v>
      </c>
      <c r="AK176" s="232" t="s">
        <v>105</v>
      </c>
      <c r="AL176" s="232" t="s">
        <v>105</v>
      </c>
      <c r="AM176" s="232" t="s">
        <v>105</v>
      </c>
      <c r="AN176" s="232" t="s">
        <v>106</v>
      </c>
      <c r="AO176" s="250"/>
      <c r="AP176" s="249" t="s">
        <v>982</v>
      </c>
      <c r="AQ176" s="232" t="s">
        <v>105</v>
      </c>
      <c r="AR176" s="232" t="s">
        <v>105</v>
      </c>
      <c r="AS176" s="250" t="s">
        <v>105</v>
      </c>
      <c r="AT176" s="250" t="s">
        <v>105</v>
      </c>
      <c r="AU176" s="213">
        <v>45273</v>
      </c>
      <c r="AV176" s="250" t="s">
        <v>105</v>
      </c>
      <c r="AW176" s="228" t="s">
        <v>105</v>
      </c>
      <c r="AX176" s="229">
        <v>45294</v>
      </c>
      <c r="AY176" s="236">
        <v>45300</v>
      </c>
      <c r="AZ176" s="233">
        <v>45041</v>
      </c>
      <c r="BA176" s="232" t="s">
        <v>30</v>
      </c>
      <c r="BB176" s="217" t="s">
        <v>105</v>
      </c>
      <c r="BC176" s="218">
        <f t="shared" si="17"/>
        <v>267</v>
      </c>
      <c r="BD176" s="210" t="str">
        <f t="shared" si="15"/>
        <v>INDENIZAÇÃO</v>
      </c>
      <c r="BE176" s="210" t="str">
        <f t="shared" si="14"/>
        <v>NÃO</v>
      </c>
      <c r="BF176" s="210" t="s">
        <v>24</v>
      </c>
      <c r="BG176" s="210" t="s">
        <v>24</v>
      </c>
      <c r="BH176" s="210" t="s">
        <v>24</v>
      </c>
      <c r="BI176" s="210" t="s">
        <v>105</v>
      </c>
      <c r="BJ176" s="210" t="s">
        <v>105</v>
      </c>
      <c r="BK176" s="213">
        <v>45510</v>
      </c>
      <c r="BL176" s="210" t="s">
        <v>105</v>
      </c>
      <c r="BM176" s="266" t="s">
        <v>105</v>
      </c>
      <c r="BN176" s="232"/>
      <c r="BO176" s="232"/>
      <c r="BP176" s="232"/>
      <c r="BQ176" s="232"/>
      <c r="BR176" s="232"/>
      <c r="BS176" s="232"/>
      <c r="BT176" s="232"/>
      <c r="BU176" s="232"/>
      <c r="BV176" s="232"/>
      <c r="BW176" s="232"/>
      <c r="BX176" s="232"/>
      <c r="BY176" s="232"/>
    </row>
    <row r="177" spans="1:162" ht="35.25" customHeight="1" x14ac:dyDescent="0.25">
      <c r="A177" s="210">
        <v>164</v>
      </c>
      <c r="B177" s="210" t="s">
        <v>99</v>
      </c>
      <c r="C177" s="210">
        <v>2</v>
      </c>
      <c r="D177" s="210">
        <v>0</v>
      </c>
      <c r="E177" s="210">
        <v>0</v>
      </c>
      <c r="F177" s="219" t="s">
        <v>983</v>
      </c>
      <c r="G177" s="220" t="s">
        <v>1</v>
      </c>
      <c r="H177" s="220" t="s">
        <v>2</v>
      </c>
      <c r="I177" s="210" t="s">
        <v>12</v>
      </c>
      <c r="J177" s="219" t="s">
        <v>984</v>
      </c>
      <c r="K177" s="219" t="s">
        <v>985</v>
      </c>
      <c r="L177" s="219" t="s">
        <v>986</v>
      </c>
      <c r="M177" s="232" t="s">
        <v>4</v>
      </c>
      <c r="N177" s="246" t="s">
        <v>962</v>
      </c>
      <c r="O177" s="213">
        <v>45033</v>
      </c>
      <c r="P177" s="233" t="s">
        <v>24</v>
      </c>
      <c r="Q177" s="233" t="s">
        <v>24</v>
      </c>
      <c r="R177" s="233" t="s">
        <v>24</v>
      </c>
      <c r="S177" s="233" t="s">
        <v>24</v>
      </c>
      <c r="T177" s="213" t="s">
        <v>105</v>
      </c>
      <c r="U177" s="233" t="s">
        <v>24</v>
      </c>
      <c r="V177" s="233" t="s">
        <v>24</v>
      </c>
      <c r="W177" s="233" t="s">
        <v>24</v>
      </c>
      <c r="X177" s="233" t="s">
        <v>24</v>
      </c>
      <c r="Y177" s="233" t="s">
        <v>24</v>
      </c>
      <c r="Z177" s="233" t="s">
        <v>24</v>
      </c>
      <c r="AA177" s="232" t="s">
        <v>963</v>
      </c>
      <c r="AB177" s="219" t="s">
        <v>984</v>
      </c>
      <c r="AC177" s="219" t="s">
        <v>985</v>
      </c>
      <c r="AD177" s="219" t="s">
        <v>986</v>
      </c>
      <c r="AE177" s="220" t="s">
        <v>12</v>
      </c>
      <c r="AF177" s="232" t="s">
        <v>4</v>
      </c>
      <c r="AG177" s="230">
        <f t="shared" si="18"/>
        <v>1600</v>
      </c>
      <c r="AH177" s="230">
        <v>31600</v>
      </c>
      <c r="AI177" s="232" t="s">
        <v>6</v>
      </c>
      <c r="AJ177" s="230" t="s">
        <v>104</v>
      </c>
      <c r="AK177" s="232" t="s">
        <v>105</v>
      </c>
      <c r="AL177" s="232" t="s">
        <v>105</v>
      </c>
      <c r="AM177" s="232" t="s">
        <v>105</v>
      </c>
      <c r="AN177" s="232" t="s">
        <v>106</v>
      </c>
      <c r="AO177" s="250"/>
      <c r="AP177" s="234" t="s">
        <v>987</v>
      </c>
      <c r="AQ177" s="232" t="s">
        <v>105</v>
      </c>
      <c r="AR177" s="232" t="s">
        <v>105</v>
      </c>
      <c r="AS177" s="232" t="s">
        <v>105</v>
      </c>
      <c r="AT177" s="232" t="s">
        <v>105</v>
      </c>
      <c r="AU177" s="233">
        <v>45278</v>
      </c>
      <c r="AV177" s="232" t="s">
        <v>105</v>
      </c>
      <c r="AW177" s="228" t="s">
        <v>105</v>
      </c>
      <c r="AX177" s="229">
        <v>45295</v>
      </c>
      <c r="AY177" s="236">
        <v>45300</v>
      </c>
      <c r="AZ177" s="235" t="s">
        <v>220</v>
      </c>
      <c r="BA177" s="235" t="s">
        <v>502</v>
      </c>
      <c r="BB177" s="217" t="s">
        <v>105</v>
      </c>
      <c r="BC177" s="218">
        <f t="shared" si="17"/>
        <v>267</v>
      </c>
      <c r="BD177" s="210" t="str">
        <f t="shared" si="15"/>
        <v>INDENIZAÇÃO</v>
      </c>
      <c r="BE177" s="210" t="str">
        <f t="shared" si="14"/>
        <v>SIM</v>
      </c>
      <c r="BF177" s="210" t="s">
        <v>105</v>
      </c>
      <c r="BG177" s="229">
        <v>45773</v>
      </c>
      <c r="BH177" s="229">
        <v>45435</v>
      </c>
      <c r="BI177" s="210" t="s">
        <v>105</v>
      </c>
      <c r="BJ177" s="210" t="s">
        <v>105</v>
      </c>
      <c r="BK177" s="213">
        <v>45621</v>
      </c>
      <c r="BL177" s="210" t="s">
        <v>105</v>
      </c>
      <c r="BM177" s="266" t="s">
        <v>105</v>
      </c>
      <c r="BN177" s="232"/>
      <c r="BO177" s="232"/>
      <c r="BP177" s="232"/>
      <c r="BQ177" s="232"/>
      <c r="BR177" s="232"/>
      <c r="BS177" s="232"/>
      <c r="BT177" s="232"/>
      <c r="BU177" s="232"/>
      <c r="BV177" s="232"/>
      <c r="BW177" s="232"/>
      <c r="BX177" s="232"/>
      <c r="BY177" s="232"/>
    </row>
    <row r="178" spans="1:162" ht="35.25" customHeight="1" x14ac:dyDescent="0.25">
      <c r="A178" s="210">
        <v>165</v>
      </c>
      <c r="B178" s="210" t="s">
        <v>99</v>
      </c>
      <c r="C178" s="210">
        <v>2</v>
      </c>
      <c r="D178" s="210">
        <v>0</v>
      </c>
      <c r="E178" s="210">
        <v>0</v>
      </c>
      <c r="F178" s="219" t="s">
        <v>988</v>
      </c>
      <c r="G178" s="220" t="s">
        <v>1</v>
      </c>
      <c r="H178" s="220" t="s">
        <v>2</v>
      </c>
      <c r="I178" s="210" t="s">
        <v>12</v>
      </c>
      <c r="J178" s="219" t="s">
        <v>989</v>
      </c>
      <c r="K178" s="219" t="s">
        <v>990</v>
      </c>
      <c r="L178" s="219" t="s">
        <v>991</v>
      </c>
      <c r="M178" s="232" t="s">
        <v>4</v>
      </c>
      <c r="N178" s="232" t="s">
        <v>5</v>
      </c>
      <c r="O178" s="213">
        <v>45033</v>
      </c>
      <c r="P178" s="233" t="s">
        <v>24</v>
      </c>
      <c r="Q178" s="233" t="s">
        <v>24</v>
      </c>
      <c r="R178" s="233" t="s">
        <v>24</v>
      </c>
      <c r="S178" s="233" t="s">
        <v>24</v>
      </c>
      <c r="T178" s="233" t="s">
        <v>24</v>
      </c>
      <c r="U178" s="233" t="s">
        <v>24</v>
      </c>
      <c r="V178" s="233" t="s">
        <v>24</v>
      </c>
      <c r="W178" s="233" t="s">
        <v>24</v>
      </c>
      <c r="X178" s="233" t="s">
        <v>24</v>
      </c>
      <c r="Y178" s="233" t="s">
        <v>24</v>
      </c>
      <c r="Z178" s="233" t="s">
        <v>24</v>
      </c>
      <c r="AA178" s="232" t="s">
        <v>963</v>
      </c>
      <c r="AB178" s="219" t="s">
        <v>989</v>
      </c>
      <c r="AC178" s="219" t="s">
        <v>990</v>
      </c>
      <c r="AD178" s="219" t="s">
        <v>991</v>
      </c>
      <c r="AE178" s="220" t="s">
        <v>12</v>
      </c>
      <c r="AF178" s="232" t="s">
        <v>4</v>
      </c>
      <c r="AG178" s="230">
        <f t="shared" si="18"/>
        <v>3100</v>
      </c>
      <c r="AH178" s="230">
        <v>33100</v>
      </c>
      <c r="AI178" s="232" t="s">
        <v>6</v>
      </c>
      <c r="AJ178" s="230" t="s">
        <v>104</v>
      </c>
      <c r="AK178" s="232" t="s">
        <v>105</v>
      </c>
      <c r="AL178" s="232" t="s">
        <v>105</v>
      </c>
      <c r="AM178" s="232" t="s">
        <v>105</v>
      </c>
      <c r="AN178" s="232" t="s">
        <v>106</v>
      </c>
      <c r="AO178" s="232"/>
      <c r="AP178" s="234" t="s">
        <v>992</v>
      </c>
      <c r="AQ178" s="232" t="s">
        <v>105</v>
      </c>
      <c r="AR178" s="232" t="s">
        <v>105</v>
      </c>
      <c r="AS178" s="210" t="s">
        <v>105</v>
      </c>
      <c r="AT178" s="210" t="s">
        <v>105</v>
      </c>
      <c r="AU178" s="213">
        <v>45114</v>
      </c>
      <c r="AV178" s="210" t="s">
        <v>105</v>
      </c>
      <c r="AW178" s="210" t="s">
        <v>105</v>
      </c>
      <c r="AX178" s="213">
        <v>45119</v>
      </c>
      <c r="AY178" s="213">
        <v>45139</v>
      </c>
      <c r="AZ178" s="233">
        <v>45042</v>
      </c>
      <c r="BA178" s="232" t="s">
        <v>30</v>
      </c>
      <c r="BB178" s="217" t="s">
        <v>105</v>
      </c>
      <c r="BC178" s="218">
        <f t="shared" si="17"/>
        <v>106</v>
      </c>
      <c r="BD178" s="210" t="str">
        <f t="shared" si="15"/>
        <v>INDENIZAÇÃO</v>
      </c>
      <c r="BE178" s="210" t="str">
        <f t="shared" si="14"/>
        <v>NÃO</v>
      </c>
      <c r="BF178" s="210" t="s">
        <v>24</v>
      </c>
      <c r="BG178" s="210" t="s">
        <v>24</v>
      </c>
      <c r="BH178" s="210" t="s">
        <v>24</v>
      </c>
      <c r="BI178" s="210" t="s">
        <v>105</v>
      </c>
      <c r="BJ178" s="210" t="s">
        <v>105</v>
      </c>
      <c r="BK178" s="253">
        <v>45190</v>
      </c>
      <c r="BL178" s="210" t="s">
        <v>105</v>
      </c>
      <c r="BM178" s="266" t="s">
        <v>105</v>
      </c>
      <c r="BN178" s="232"/>
      <c r="BO178" s="232"/>
      <c r="BP178" s="232"/>
      <c r="BQ178" s="232"/>
      <c r="BR178" s="232"/>
      <c r="BS178" s="232"/>
      <c r="BT178" s="232"/>
      <c r="BU178" s="232"/>
      <c r="BV178" s="232"/>
      <c r="BW178" s="232"/>
      <c r="BX178" s="232"/>
      <c r="BY178" s="232"/>
    </row>
    <row r="179" spans="1:162" ht="35.25" customHeight="1" x14ac:dyDescent="0.25">
      <c r="A179" s="210">
        <v>166</v>
      </c>
      <c r="B179" s="210" t="s">
        <v>99</v>
      </c>
      <c r="C179" s="210">
        <v>2</v>
      </c>
      <c r="D179" s="210">
        <v>0</v>
      </c>
      <c r="E179" s="210">
        <v>0</v>
      </c>
      <c r="F179" s="219" t="s">
        <v>993</v>
      </c>
      <c r="G179" s="220" t="s">
        <v>1</v>
      </c>
      <c r="H179" s="220" t="s">
        <v>2</v>
      </c>
      <c r="I179" s="210" t="s">
        <v>12</v>
      </c>
      <c r="J179" s="219" t="s">
        <v>994</v>
      </c>
      <c r="K179" s="219" t="s">
        <v>995</v>
      </c>
      <c r="L179" s="219" t="s">
        <v>996</v>
      </c>
      <c r="M179" s="232" t="s">
        <v>4</v>
      </c>
      <c r="N179" s="232" t="s">
        <v>5</v>
      </c>
      <c r="O179" s="213">
        <v>45216</v>
      </c>
      <c r="P179" s="233" t="s">
        <v>24</v>
      </c>
      <c r="Q179" s="233" t="s">
        <v>24</v>
      </c>
      <c r="R179" s="233" t="s">
        <v>24</v>
      </c>
      <c r="S179" s="233" t="s">
        <v>24</v>
      </c>
      <c r="T179" s="233" t="s">
        <v>24</v>
      </c>
      <c r="U179" s="233" t="s">
        <v>24</v>
      </c>
      <c r="V179" s="233" t="s">
        <v>24</v>
      </c>
      <c r="W179" s="233" t="s">
        <v>24</v>
      </c>
      <c r="X179" s="233" t="s">
        <v>24</v>
      </c>
      <c r="Y179" s="233" t="s">
        <v>24</v>
      </c>
      <c r="Z179" s="233" t="s">
        <v>24</v>
      </c>
      <c r="AA179" s="232"/>
      <c r="AB179" s="219" t="s">
        <v>994</v>
      </c>
      <c r="AC179" s="219" t="s">
        <v>995</v>
      </c>
      <c r="AD179" s="219" t="s">
        <v>996</v>
      </c>
      <c r="AE179" s="220" t="s">
        <v>12</v>
      </c>
      <c r="AF179" s="232" t="s">
        <v>4</v>
      </c>
      <c r="AG179" s="230">
        <f t="shared" si="18"/>
        <v>5300</v>
      </c>
      <c r="AH179" s="230">
        <v>35300</v>
      </c>
      <c r="AI179" s="232" t="s">
        <v>6</v>
      </c>
      <c r="AJ179" s="230" t="s">
        <v>104</v>
      </c>
      <c r="AK179" s="232" t="s">
        <v>105</v>
      </c>
      <c r="AL179" s="232" t="s">
        <v>105</v>
      </c>
      <c r="AM179" s="232" t="s">
        <v>105</v>
      </c>
      <c r="AN179" s="232" t="s">
        <v>106</v>
      </c>
      <c r="AO179" s="259" t="s">
        <v>997</v>
      </c>
      <c r="AP179" s="234" t="s">
        <v>998</v>
      </c>
      <c r="AQ179" s="228" t="s">
        <v>501</v>
      </c>
      <c r="AR179" s="250" t="s">
        <v>501</v>
      </c>
      <c r="AS179" s="228" t="s">
        <v>501</v>
      </c>
      <c r="AT179" s="228" t="s">
        <v>501</v>
      </c>
      <c r="AU179" s="213">
        <v>45425</v>
      </c>
      <c r="AV179" s="228" t="s">
        <v>501</v>
      </c>
      <c r="AW179" s="228" t="s">
        <v>501</v>
      </c>
      <c r="AX179" s="213">
        <v>45432</v>
      </c>
      <c r="AY179" s="236">
        <v>45432</v>
      </c>
      <c r="AZ179" s="236" t="s">
        <v>220</v>
      </c>
      <c r="BA179" s="235" t="s">
        <v>502</v>
      </c>
      <c r="BB179" s="217" t="s">
        <v>105</v>
      </c>
      <c r="BC179" s="218">
        <f t="shared" si="17"/>
        <v>216</v>
      </c>
      <c r="BD179" s="210" t="str">
        <f t="shared" si="15"/>
        <v>INDENIZAÇÃO</v>
      </c>
      <c r="BE179" s="210" t="str">
        <f t="shared" si="14"/>
        <v>NÃO</v>
      </c>
      <c r="BF179" s="210" t="s">
        <v>24</v>
      </c>
      <c r="BG179" s="210" t="s">
        <v>24</v>
      </c>
      <c r="BH179" s="210" t="s">
        <v>24</v>
      </c>
      <c r="BI179" s="210" t="s">
        <v>105</v>
      </c>
      <c r="BJ179" s="210" t="s">
        <v>105</v>
      </c>
      <c r="BK179" s="213">
        <v>45483</v>
      </c>
      <c r="BL179" s="210" t="s">
        <v>105</v>
      </c>
      <c r="BM179" s="241" t="s">
        <v>220</v>
      </c>
      <c r="BN179" s="232"/>
      <c r="BO179" s="232"/>
      <c r="BP179" s="232"/>
      <c r="BQ179" s="232"/>
      <c r="BR179" s="232"/>
      <c r="BS179" s="232"/>
      <c r="BT179" s="232"/>
      <c r="BU179" s="232"/>
      <c r="BV179" s="232"/>
      <c r="BW179" s="232"/>
      <c r="BX179" s="232"/>
      <c r="BY179" s="232"/>
    </row>
    <row r="180" spans="1:162" ht="35.25" hidden="1" customHeight="1" x14ac:dyDescent="0.25">
      <c r="A180" s="210">
        <v>167</v>
      </c>
      <c r="B180" s="210" t="s">
        <v>99</v>
      </c>
      <c r="C180" s="210">
        <v>2</v>
      </c>
      <c r="D180" s="210">
        <v>0</v>
      </c>
      <c r="E180" s="210">
        <v>0</v>
      </c>
      <c r="F180" s="219" t="s">
        <v>999</v>
      </c>
      <c r="G180" s="220" t="s">
        <v>139</v>
      </c>
      <c r="H180" s="220" t="s">
        <v>139</v>
      </c>
      <c r="I180" s="210" t="s">
        <v>12</v>
      </c>
      <c r="J180" s="219" t="s">
        <v>1000</v>
      </c>
      <c r="K180" s="219" t="s">
        <v>1001</v>
      </c>
      <c r="L180" s="219" t="s">
        <v>1002</v>
      </c>
      <c r="M180" s="232" t="s">
        <v>4</v>
      </c>
      <c r="N180" s="220" t="s">
        <v>14</v>
      </c>
      <c r="O180" s="213">
        <v>45019</v>
      </c>
      <c r="P180" s="251" t="s">
        <v>1003</v>
      </c>
      <c r="Q180" s="213" t="s">
        <v>114</v>
      </c>
      <c r="R180" s="233" t="s">
        <v>105</v>
      </c>
      <c r="S180" s="233" t="s">
        <v>105</v>
      </c>
      <c r="T180" s="213" t="s">
        <v>105</v>
      </c>
      <c r="U180" s="251">
        <v>45189</v>
      </c>
      <c r="V180" s="251" t="s">
        <v>105</v>
      </c>
      <c r="W180" s="251">
        <v>45189</v>
      </c>
      <c r="X180" s="251">
        <v>45201</v>
      </c>
      <c r="Y180" s="251">
        <v>45205</v>
      </c>
      <c r="Z180" s="251">
        <v>45209</v>
      </c>
      <c r="AA180" s="232"/>
      <c r="AB180" s="219" t="s">
        <v>1000</v>
      </c>
      <c r="AC180" s="219" t="s">
        <v>1001</v>
      </c>
      <c r="AD180" s="219" t="s">
        <v>1002</v>
      </c>
      <c r="AE180" s="220" t="s">
        <v>12</v>
      </c>
      <c r="AF180" s="210" t="s">
        <v>4</v>
      </c>
      <c r="AG180" s="230">
        <v>0</v>
      </c>
      <c r="AH180" s="230">
        <v>0</v>
      </c>
      <c r="AI180" s="232" t="s">
        <v>23</v>
      </c>
      <c r="AJ180" s="230" t="s">
        <v>104</v>
      </c>
      <c r="AK180" s="210" t="s">
        <v>105</v>
      </c>
      <c r="AL180" s="210" t="s">
        <v>24</v>
      </c>
      <c r="AM180" s="210" t="s">
        <v>24</v>
      </c>
      <c r="AN180" s="210" t="s">
        <v>24</v>
      </c>
      <c r="AO180" s="232"/>
      <c r="AP180" s="219" t="s">
        <v>24</v>
      </c>
      <c r="AQ180" s="210" t="s">
        <v>24</v>
      </c>
      <c r="AR180" s="210" t="s">
        <v>24</v>
      </c>
      <c r="AS180" s="210" t="s">
        <v>24</v>
      </c>
      <c r="AT180" s="210" t="s">
        <v>24</v>
      </c>
      <c r="AU180" s="210" t="s">
        <v>24</v>
      </c>
      <c r="AV180" s="210" t="s">
        <v>24</v>
      </c>
      <c r="AW180" s="210" t="s">
        <v>24</v>
      </c>
      <c r="AX180" s="251">
        <v>45201</v>
      </c>
      <c r="AY180" s="213">
        <v>45205</v>
      </c>
      <c r="AZ180" s="251">
        <v>45209</v>
      </c>
      <c r="BA180" s="235" t="s">
        <v>502</v>
      </c>
      <c r="BB180" s="217" t="s">
        <v>105</v>
      </c>
      <c r="BC180" s="218">
        <f t="shared" si="17"/>
        <v>186</v>
      </c>
      <c r="BD180" s="210" t="str">
        <f t="shared" si="15"/>
        <v>AA</v>
      </c>
      <c r="BE180" s="210" t="str">
        <f t="shared" si="14"/>
        <v>NÃO</v>
      </c>
      <c r="BF180" s="210" t="s">
        <v>24</v>
      </c>
      <c r="BG180" s="210" t="s">
        <v>24</v>
      </c>
      <c r="BH180" s="210" t="s">
        <v>24</v>
      </c>
      <c r="BI180" s="210" t="s">
        <v>24</v>
      </c>
      <c r="BJ180" s="210" t="s">
        <v>24</v>
      </c>
      <c r="BK180" s="210" t="s">
        <v>24</v>
      </c>
      <c r="BL180" s="210" t="s">
        <v>24</v>
      </c>
      <c r="BM180" s="210" t="s">
        <v>105</v>
      </c>
      <c r="BN180" s="232"/>
      <c r="BO180" s="232"/>
      <c r="BP180" s="232"/>
      <c r="BQ180" s="232"/>
      <c r="BR180" s="232"/>
      <c r="BS180" s="232"/>
      <c r="BT180" s="232"/>
      <c r="BU180" s="232"/>
      <c r="BV180" s="232"/>
      <c r="BW180" s="232"/>
      <c r="BX180" s="232"/>
      <c r="BY180" s="232"/>
    </row>
    <row r="181" spans="1:162" ht="35.25" customHeight="1" x14ac:dyDescent="0.25">
      <c r="A181" s="210">
        <v>168</v>
      </c>
      <c r="B181" s="210" t="s">
        <v>99</v>
      </c>
      <c r="C181" s="210">
        <v>2</v>
      </c>
      <c r="D181" s="210">
        <v>0</v>
      </c>
      <c r="E181" s="210">
        <v>0</v>
      </c>
      <c r="F181" s="219" t="s">
        <v>1004</v>
      </c>
      <c r="G181" s="210" t="s">
        <v>1</v>
      </c>
      <c r="H181" s="210" t="s">
        <v>2</v>
      </c>
      <c r="I181" s="210" t="s">
        <v>12</v>
      </c>
      <c r="J181" s="219" t="s">
        <v>1005</v>
      </c>
      <c r="K181" s="219" t="s">
        <v>1006</v>
      </c>
      <c r="L181" s="219" t="s">
        <v>1007</v>
      </c>
      <c r="M181" s="232" t="s">
        <v>4</v>
      </c>
      <c r="N181" s="232" t="s">
        <v>5</v>
      </c>
      <c r="O181" s="213">
        <v>45019</v>
      </c>
      <c r="P181" s="233" t="s">
        <v>24</v>
      </c>
      <c r="Q181" s="233" t="s">
        <v>24</v>
      </c>
      <c r="R181" s="233" t="s">
        <v>24</v>
      </c>
      <c r="S181" s="233" t="s">
        <v>24</v>
      </c>
      <c r="T181" s="213" t="s">
        <v>105</v>
      </c>
      <c r="U181" s="233" t="s">
        <v>24</v>
      </c>
      <c r="V181" s="233" t="s">
        <v>24</v>
      </c>
      <c r="W181" s="233" t="s">
        <v>24</v>
      </c>
      <c r="X181" s="233" t="s">
        <v>24</v>
      </c>
      <c r="Y181" s="233" t="s">
        <v>24</v>
      </c>
      <c r="Z181" s="233" t="s">
        <v>24</v>
      </c>
      <c r="AA181" s="232"/>
      <c r="AB181" s="219" t="s">
        <v>1005</v>
      </c>
      <c r="AC181" s="219" t="s">
        <v>1006</v>
      </c>
      <c r="AD181" s="219" t="s">
        <v>1007</v>
      </c>
      <c r="AE181" s="220" t="s">
        <v>12</v>
      </c>
      <c r="AF181" s="232" t="s">
        <v>4</v>
      </c>
      <c r="AG181" s="230">
        <f>AH181-30000</f>
        <v>1000</v>
      </c>
      <c r="AH181" s="230">
        <v>31000</v>
      </c>
      <c r="AI181" s="232" t="s">
        <v>6</v>
      </c>
      <c r="AJ181" s="230" t="s">
        <v>104</v>
      </c>
      <c r="AK181" s="232" t="s">
        <v>105</v>
      </c>
      <c r="AL181" s="232" t="s">
        <v>105</v>
      </c>
      <c r="AM181" s="232" t="s">
        <v>105</v>
      </c>
      <c r="AN181" s="232" t="s">
        <v>106</v>
      </c>
      <c r="AO181" s="232"/>
      <c r="AP181" s="234" t="s">
        <v>1008</v>
      </c>
      <c r="AQ181" s="232" t="s">
        <v>105</v>
      </c>
      <c r="AR181" s="232" t="s">
        <v>105</v>
      </c>
      <c r="AS181" s="232" t="s">
        <v>105</v>
      </c>
      <c r="AT181" s="232" t="s">
        <v>105</v>
      </c>
      <c r="AU181" s="233">
        <v>45278</v>
      </c>
      <c r="AV181" s="232" t="s">
        <v>105</v>
      </c>
      <c r="AW181" s="228" t="s">
        <v>105</v>
      </c>
      <c r="AX181" s="229">
        <v>45295</v>
      </c>
      <c r="AY181" s="236">
        <v>45300</v>
      </c>
      <c r="AZ181" s="235" t="s">
        <v>220</v>
      </c>
      <c r="BA181" s="235" t="s">
        <v>502</v>
      </c>
      <c r="BB181" s="217" t="s">
        <v>105</v>
      </c>
      <c r="BC181" s="218">
        <f t="shared" si="17"/>
        <v>281</v>
      </c>
      <c r="BD181" s="210" t="str">
        <f t="shared" si="15"/>
        <v>INDENIZAÇÃO</v>
      </c>
      <c r="BE181" s="210" t="str">
        <f t="shared" si="14"/>
        <v>NÃO</v>
      </c>
      <c r="BF181" s="210" t="s">
        <v>24</v>
      </c>
      <c r="BG181" s="210" t="s">
        <v>24</v>
      </c>
      <c r="BH181" s="210" t="s">
        <v>24</v>
      </c>
      <c r="BI181" s="210" t="s">
        <v>105</v>
      </c>
      <c r="BJ181" s="210" t="s">
        <v>105</v>
      </c>
      <c r="BK181" s="213">
        <v>45510</v>
      </c>
      <c r="BL181" s="210" t="s">
        <v>105</v>
      </c>
      <c r="BM181" s="266" t="s">
        <v>105</v>
      </c>
      <c r="BN181" s="232"/>
      <c r="BO181" s="232"/>
      <c r="BP181" s="232"/>
      <c r="BQ181" s="232"/>
      <c r="BR181" s="232"/>
      <c r="BS181" s="232"/>
      <c r="BT181" s="232"/>
      <c r="BU181" s="232"/>
      <c r="BV181" s="232"/>
      <c r="BW181" s="232"/>
      <c r="BX181" s="232"/>
      <c r="BY181" s="232"/>
    </row>
    <row r="182" spans="1:162" ht="35.25" customHeight="1" x14ac:dyDescent="0.25">
      <c r="A182" s="210">
        <v>169</v>
      </c>
      <c r="B182" s="210" t="s">
        <v>99</v>
      </c>
      <c r="C182" s="210">
        <v>2</v>
      </c>
      <c r="D182" s="210">
        <v>0</v>
      </c>
      <c r="E182" s="210">
        <v>0</v>
      </c>
      <c r="F182" s="215" t="s">
        <v>1009</v>
      </c>
      <c r="G182" s="228" t="s">
        <v>1</v>
      </c>
      <c r="H182" s="228" t="s">
        <v>2</v>
      </c>
      <c r="I182" s="210" t="s">
        <v>12</v>
      </c>
      <c r="J182" s="215" t="s">
        <v>1010</v>
      </c>
      <c r="K182" s="215" t="s">
        <v>1011</v>
      </c>
      <c r="L182" s="215" t="s">
        <v>1012</v>
      </c>
      <c r="M182" s="250" t="s">
        <v>4</v>
      </c>
      <c r="N182" s="250" t="s">
        <v>5</v>
      </c>
      <c r="O182" s="229">
        <v>45260</v>
      </c>
      <c r="P182" s="233" t="s">
        <v>24</v>
      </c>
      <c r="Q182" s="233" t="s">
        <v>24</v>
      </c>
      <c r="R182" s="233" t="s">
        <v>24</v>
      </c>
      <c r="S182" s="233" t="s">
        <v>24</v>
      </c>
      <c r="T182" s="213" t="s">
        <v>105</v>
      </c>
      <c r="U182" s="233" t="s">
        <v>24</v>
      </c>
      <c r="V182" s="233" t="s">
        <v>24</v>
      </c>
      <c r="W182" s="233" t="s">
        <v>24</v>
      </c>
      <c r="X182" s="233" t="s">
        <v>24</v>
      </c>
      <c r="Y182" s="233" t="s">
        <v>24</v>
      </c>
      <c r="Z182" s="233" t="s">
        <v>24</v>
      </c>
      <c r="AA182" s="232"/>
      <c r="AB182" s="219" t="s">
        <v>1010</v>
      </c>
      <c r="AC182" s="219" t="s">
        <v>1011</v>
      </c>
      <c r="AD182" s="219" t="s">
        <v>1012</v>
      </c>
      <c r="AE182" s="210" t="s">
        <v>12</v>
      </c>
      <c r="AF182" s="232" t="s">
        <v>4</v>
      </c>
      <c r="AG182" s="230">
        <v>0</v>
      </c>
      <c r="AH182" s="230">
        <v>60000</v>
      </c>
      <c r="AI182" s="232" t="s">
        <v>6</v>
      </c>
      <c r="AJ182" s="230" t="s">
        <v>104</v>
      </c>
      <c r="AK182" s="232" t="s">
        <v>105</v>
      </c>
      <c r="AL182" s="232" t="s">
        <v>105</v>
      </c>
      <c r="AM182" s="232" t="s">
        <v>105</v>
      </c>
      <c r="AN182" s="232" t="s">
        <v>106</v>
      </c>
      <c r="AO182" s="232"/>
      <c r="AP182" s="234" t="s">
        <v>1013</v>
      </c>
      <c r="AQ182" s="232" t="s">
        <v>105</v>
      </c>
      <c r="AR182" s="232" t="s">
        <v>105</v>
      </c>
      <c r="AS182" s="232" t="s">
        <v>105</v>
      </c>
      <c r="AT182" s="228" t="s">
        <v>105</v>
      </c>
      <c r="AU182" s="229">
        <v>45286</v>
      </c>
      <c r="AV182" s="228" t="s">
        <v>105</v>
      </c>
      <c r="AW182" s="228" t="s">
        <v>105</v>
      </c>
      <c r="AX182" s="229">
        <v>45294</v>
      </c>
      <c r="AY182" s="236">
        <v>45300</v>
      </c>
      <c r="AZ182" s="235" t="s">
        <v>220</v>
      </c>
      <c r="BA182" s="235" t="s">
        <v>502</v>
      </c>
      <c r="BB182" s="217" t="s">
        <v>105</v>
      </c>
      <c r="BC182" s="218">
        <f t="shared" si="17"/>
        <v>40</v>
      </c>
      <c r="BD182" s="210" t="str">
        <f t="shared" si="15"/>
        <v>INDENIZAÇÃO</v>
      </c>
      <c r="BE182" s="210" t="str">
        <f t="shared" si="14"/>
        <v>NÃO</v>
      </c>
      <c r="BF182" s="210" t="s">
        <v>24</v>
      </c>
      <c r="BG182" s="210" t="s">
        <v>24</v>
      </c>
      <c r="BH182" s="210" t="s">
        <v>24</v>
      </c>
      <c r="BI182" s="210" t="s">
        <v>105</v>
      </c>
      <c r="BJ182" s="210" t="s">
        <v>105</v>
      </c>
      <c r="BK182" s="213">
        <v>45510</v>
      </c>
      <c r="BL182" s="210" t="s">
        <v>105</v>
      </c>
      <c r="BM182" s="266" t="s">
        <v>105</v>
      </c>
      <c r="BN182" s="232"/>
      <c r="BO182" s="232"/>
      <c r="BP182" s="232"/>
      <c r="BQ182" s="232"/>
      <c r="BR182" s="232"/>
      <c r="BS182" s="232"/>
      <c r="BT182" s="232"/>
      <c r="BU182" s="232"/>
      <c r="BV182" s="232"/>
      <c r="BW182" s="232"/>
      <c r="BX182" s="232"/>
      <c r="BY182" s="232"/>
    </row>
    <row r="183" spans="1:162" ht="35.25" customHeight="1" x14ac:dyDescent="0.25">
      <c r="A183" s="210">
        <v>170</v>
      </c>
      <c r="B183" s="210" t="s">
        <v>99</v>
      </c>
      <c r="C183" s="210">
        <v>2</v>
      </c>
      <c r="D183" s="210">
        <v>0</v>
      </c>
      <c r="E183" s="210">
        <v>0</v>
      </c>
      <c r="F183" s="219" t="s">
        <v>1014</v>
      </c>
      <c r="G183" s="210" t="s">
        <v>1</v>
      </c>
      <c r="H183" s="210" t="s">
        <v>2</v>
      </c>
      <c r="I183" s="210" t="s">
        <v>121</v>
      </c>
      <c r="J183" s="219" t="s">
        <v>1015</v>
      </c>
      <c r="K183" s="219" t="s">
        <v>1016</v>
      </c>
      <c r="L183" s="219" t="s">
        <v>1017</v>
      </c>
      <c r="M183" s="232" t="s">
        <v>4</v>
      </c>
      <c r="N183" s="232" t="s">
        <v>14</v>
      </c>
      <c r="O183" s="213">
        <v>45019</v>
      </c>
      <c r="P183" s="251">
        <v>45238</v>
      </c>
      <c r="Q183" s="229" t="s">
        <v>114</v>
      </c>
      <c r="R183" s="233" t="s">
        <v>105</v>
      </c>
      <c r="S183" s="233" t="s">
        <v>105</v>
      </c>
      <c r="T183" s="213" t="s">
        <v>105</v>
      </c>
      <c r="U183" s="236"/>
      <c r="V183" s="236"/>
      <c r="W183" s="236"/>
      <c r="X183" s="236"/>
      <c r="Y183" s="236"/>
      <c r="Z183" s="236"/>
      <c r="AA183" s="232"/>
      <c r="AB183" s="219" t="s">
        <v>1018</v>
      </c>
      <c r="AC183" s="219" t="s">
        <v>1019</v>
      </c>
      <c r="AD183" s="219" t="s">
        <v>1020</v>
      </c>
      <c r="AE183" s="210" t="s">
        <v>3</v>
      </c>
      <c r="AF183" s="232" t="s">
        <v>4</v>
      </c>
      <c r="AG183" s="230">
        <v>35500</v>
      </c>
      <c r="AH183" s="230">
        <v>60000</v>
      </c>
      <c r="AI183" s="232" t="s">
        <v>6</v>
      </c>
      <c r="AJ183" s="230" t="s">
        <v>104</v>
      </c>
      <c r="AK183" s="232" t="s">
        <v>105</v>
      </c>
      <c r="AL183" s="232" t="s">
        <v>105</v>
      </c>
      <c r="AM183" s="232" t="s">
        <v>105</v>
      </c>
      <c r="AN183" s="232" t="s">
        <v>106</v>
      </c>
      <c r="AO183" s="232"/>
      <c r="AP183" s="234" t="s">
        <v>1021</v>
      </c>
      <c r="AQ183" s="232" t="s">
        <v>105</v>
      </c>
      <c r="AR183" s="232" t="s">
        <v>105</v>
      </c>
      <c r="AS183" s="232" t="s">
        <v>105</v>
      </c>
      <c r="AT183" s="232" t="s">
        <v>105</v>
      </c>
      <c r="AU183" s="233">
        <v>45278</v>
      </c>
      <c r="AV183" s="232" t="s">
        <v>105</v>
      </c>
      <c r="AW183" s="228" t="s">
        <v>105</v>
      </c>
      <c r="AX183" s="229">
        <v>45295</v>
      </c>
      <c r="AY183" s="236">
        <v>45300</v>
      </c>
      <c r="AZ183" s="235" t="s">
        <v>220</v>
      </c>
      <c r="BA183" s="235" t="s">
        <v>502</v>
      </c>
      <c r="BB183" s="217" t="s">
        <v>105</v>
      </c>
      <c r="BC183" s="218">
        <f t="shared" si="17"/>
        <v>281</v>
      </c>
      <c r="BD183" s="210" t="str">
        <f t="shared" si="15"/>
        <v>INDENIZAÇÃO</v>
      </c>
      <c r="BE183" s="210" t="str">
        <f t="shared" si="14"/>
        <v>NÃO</v>
      </c>
      <c r="BF183" s="210" t="s">
        <v>24</v>
      </c>
      <c r="BG183" s="210" t="s">
        <v>24</v>
      </c>
      <c r="BH183" s="210" t="s">
        <v>24</v>
      </c>
      <c r="BI183" s="210" t="s">
        <v>105</v>
      </c>
      <c r="BJ183" s="210" t="s">
        <v>105</v>
      </c>
      <c r="BK183" s="213">
        <v>45510</v>
      </c>
      <c r="BL183" s="210" t="s">
        <v>105</v>
      </c>
      <c r="BM183" s="266" t="s">
        <v>105</v>
      </c>
      <c r="BN183" s="232"/>
      <c r="BO183" s="232"/>
      <c r="BP183" s="232"/>
      <c r="BQ183" s="232"/>
      <c r="BR183" s="232"/>
      <c r="BS183" s="232"/>
      <c r="BT183" s="232"/>
      <c r="BU183" s="232"/>
      <c r="BV183" s="232"/>
      <c r="BW183" s="232"/>
      <c r="BX183" s="232"/>
      <c r="BY183" s="232"/>
    </row>
    <row r="184" spans="1:162" ht="35.25" customHeight="1" x14ac:dyDescent="0.25">
      <c r="A184" s="210">
        <v>171</v>
      </c>
      <c r="B184" s="210" t="s">
        <v>99</v>
      </c>
      <c r="C184" s="210">
        <v>2</v>
      </c>
      <c r="D184" s="210">
        <v>0</v>
      </c>
      <c r="E184" s="210">
        <v>0</v>
      </c>
      <c r="F184" s="219" t="s">
        <v>1022</v>
      </c>
      <c r="G184" s="220" t="s">
        <v>1</v>
      </c>
      <c r="H184" s="220" t="s">
        <v>2</v>
      </c>
      <c r="I184" s="210" t="s">
        <v>12</v>
      </c>
      <c r="J184" s="219" t="s">
        <v>1023</v>
      </c>
      <c r="K184" s="219" t="s">
        <v>1024</v>
      </c>
      <c r="L184" s="219" t="s">
        <v>1025</v>
      </c>
      <c r="M184" s="232" t="s">
        <v>4</v>
      </c>
      <c r="N184" s="232" t="s">
        <v>5</v>
      </c>
      <c r="O184" s="213">
        <v>45019</v>
      </c>
      <c r="P184" s="233" t="s">
        <v>24</v>
      </c>
      <c r="Q184" s="233" t="s">
        <v>24</v>
      </c>
      <c r="R184" s="233" t="s">
        <v>24</v>
      </c>
      <c r="S184" s="233" t="s">
        <v>24</v>
      </c>
      <c r="T184" s="233" t="s">
        <v>24</v>
      </c>
      <c r="U184" s="233" t="s">
        <v>24</v>
      </c>
      <c r="V184" s="233" t="s">
        <v>24</v>
      </c>
      <c r="W184" s="233" t="s">
        <v>24</v>
      </c>
      <c r="X184" s="233" t="s">
        <v>24</v>
      </c>
      <c r="Y184" s="233" t="s">
        <v>24</v>
      </c>
      <c r="Z184" s="233" t="s">
        <v>24</v>
      </c>
      <c r="AA184" s="232"/>
      <c r="AB184" s="219" t="s">
        <v>1023</v>
      </c>
      <c r="AC184" s="219" t="s">
        <v>1024</v>
      </c>
      <c r="AD184" s="219" t="s">
        <v>1025</v>
      </c>
      <c r="AE184" s="220" t="s">
        <v>12</v>
      </c>
      <c r="AF184" s="232" t="s">
        <v>4</v>
      </c>
      <c r="AG184" s="230">
        <v>2800</v>
      </c>
      <c r="AH184" s="230">
        <f t="shared" ref="AH184:AH189" si="19">AG184+30000</f>
        <v>32800</v>
      </c>
      <c r="AI184" s="232" t="s">
        <v>6</v>
      </c>
      <c r="AJ184" s="230" t="s">
        <v>104</v>
      </c>
      <c r="AK184" s="232" t="s">
        <v>105</v>
      </c>
      <c r="AL184" s="232" t="s">
        <v>105</v>
      </c>
      <c r="AM184" s="232" t="s">
        <v>105</v>
      </c>
      <c r="AN184" s="232" t="s">
        <v>106</v>
      </c>
      <c r="AO184" s="232"/>
      <c r="AP184" s="234" t="s">
        <v>1026</v>
      </c>
      <c r="AQ184" s="232" t="s">
        <v>105</v>
      </c>
      <c r="AR184" s="232" t="s">
        <v>105</v>
      </c>
      <c r="AS184" s="250" t="s">
        <v>105</v>
      </c>
      <c r="AT184" s="250" t="s">
        <v>105</v>
      </c>
      <c r="AU184" s="213">
        <v>45273</v>
      </c>
      <c r="AV184" s="250" t="s">
        <v>105</v>
      </c>
      <c r="AW184" s="228" t="s">
        <v>105</v>
      </c>
      <c r="AX184" s="229">
        <v>45294</v>
      </c>
      <c r="AY184" s="236">
        <v>45300</v>
      </c>
      <c r="AZ184" s="236" t="s">
        <v>220</v>
      </c>
      <c r="BA184" s="235" t="s">
        <v>502</v>
      </c>
      <c r="BB184" s="217" t="s">
        <v>105</v>
      </c>
      <c r="BC184" s="218">
        <f t="shared" si="17"/>
        <v>281</v>
      </c>
      <c r="BD184" s="210" t="str">
        <f t="shared" si="15"/>
        <v>INDENIZAÇÃO</v>
      </c>
      <c r="BE184" s="210" t="str">
        <f t="shared" si="14"/>
        <v>NÃO</v>
      </c>
      <c r="BF184" s="210" t="s">
        <v>24</v>
      </c>
      <c r="BG184" s="210" t="s">
        <v>24</v>
      </c>
      <c r="BH184" s="210" t="s">
        <v>24</v>
      </c>
      <c r="BI184" s="210" t="s">
        <v>105</v>
      </c>
      <c r="BJ184" s="210" t="s">
        <v>105</v>
      </c>
      <c r="BK184" s="213">
        <v>45510</v>
      </c>
      <c r="BL184" s="210" t="s">
        <v>105</v>
      </c>
      <c r="BM184" s="266" t="s">
        <v>105</v>
      </c>
      <c r="BN184" s="232"/>
      <c r="BO184" s="232"/>
      <c r="BP184" s="232"/>
      <c r="BQ184" s="232"/>
      <c r="BR184" s="232"/>
      <c r="BS184" s="232"/>
      <c r="BT184" s="232"/>
      <c r="BU184" s="232"/>
      <c r="BV184" s="232"/>
      <c r="BW184" s="232"/>
      <c r="BX184" s="232"/>
      <c r="BY184" s="232"/>
    </row>
    <row r="185" spans="1:162" ht="35.25" customHeight="1" x14ac:dyDescent="0.25">
      <c r="A185" s="210">
        <v>172</v>
      </c>
      <c r="B185" s="286" t="s">
        <v>99</v>
      </c>
      <c r="C185" s="232">
        <v>2</v>
      </c>
      <c r="D185" s="232">
        <v>0</v>
      </c>
      <c r="E185" s="232">
        <v>0</v>
      </c>
      <c r="F185" s="281" t="s">
        <v>1027</v>
      </c>
      <c r="G185" s="286" t="s">
        <v>1</v>
      </c>
      <c r="H185" s="286" t="s">
        <v>366</v>
      </c>
      <c r="I185" s="286" t="s">
        <v>3</v>
      </c>
      <c r="J185" s="281" t="s">
        <v>1028</v>
      </c>
      <c r="K185" s="281" t="s">
        <v>1029</v>
      </c>
      <c r="L185" s="281" t="s">
        <v>1030</v>
      </c>
      <c r="M185" s="286" t="s">
        <v>4</v>
      </c>
      <c r="N185" s="232" t="s">
        <v>5</v>
      </c>
      <c r="O185" s="233">
        <v>45463</v>
      </c>
      <c r="P185" s="233" t="s">
        <v>24</v>
      </c>
      <c r="Q185" s="233" t="s">
        <v>24</v>
      </c>
      <c r="R185" s="233" t="s">
        <v>24</v>
      </c>
      <c r="S185" s="233" t="s">
        <v>24</v>
      </c>
      <c r="T185" s="233" t="s">
        <v>24</v>
      </c>
      <c r="U185" s="233" t="s">
        <v>24</v>
      </c>
      <c r="V185" s="233" t="s">
        <v>24</v>
      </c>
      <c r="W185" s="233" t="s">
        <v>24</v>
      </c>
      <c r="X185" s="233" t="s">
        <v>24</v>
      </c>
      <c r="Y185" s="233" t="s">
        <v>24</v>
      </c>
      <c r="Z185" s="233" t="s">
        <v>24</v>
      </c>
      <c r="AA185" s="232"/>
      <c r="AB185" s="234" t="s">
        <v>1028</v>
      </c>
      <c r="AC185" s="281" t="s">
        <v>1029</v>
      </c>
      <c r="AD185" s="281" t="s">
        <v>1030</v>
      </c>
      <c r="AE185" s="286" t="s">
        <v>3</v>
      </c>
      <c r="AF185" s="232" t="s">
        <v>4</v>
      </c>
      <c r="AG185" s="294">
        <v>4854.6499999999996</v>
      </c>
      <c r="AH185" s="294">
        <f t="shared" si="19"/>
        <v>34854.65</v>
      </c>
      <c r="AI185" s="232" t="s">
        <v>6</v>
      </c>
      <c r="AJ185" s="230" t="s">
        <v>104</v>
      </c>
      <c r="AK185" s="232" t="s">
        <v>105</v>
      </c>
      <c r="AL185" s="210" t="s">
        <v>105</v>
      </c>
      <c r="AM185" s="232" t="s">
        <v>105</v>
      </c>
      <c r="AN185" s="232" t="s">
        <v>106</v>
      </c>
      <c r="AO185" s="232" t="s">
        <v>1031</v>
      </c>
      <c r="AP185" s="234" t="s">
        <v>1032</v>
      </c>
      <c r="AQ185" s="232" t="s">
        <v>105</v>
      </c>
      <c r="AR185" s="232" t="s">
        <v>105</v>
      </c>
      <c r="AS185" s="210" t="s">
        <v>105</v>
      </c>
      <c r="AT185" s="210" t="s">
        <v>105</v>
      </c>
      <c r="AU185" s="233">
        <v>45558</v>
      </c>
      <c r="AV185" s="210" t="s">
        <v>105</v>
      </c>
      <c r="AW185" s="210" t="s">
        <v>105</v>
      </c>
      <c r="AX185" s="233">
        <v>45561</v>
      </c>
      <c r="AY185" s="221">
        <v>45561</v>
      </c>
      <c r="AZ185" s="221" t="s">
        <v>220</v>
      </c>
      <c r="BA185" s="235" t="s">
        <v>502</v>
      </c>
      <c r="BB185" s="217" t="s">
        <v>105</v>
      </c>
      <c r="BC185" s="218">
        <f t="shared" si="17"/>
        <v>98</v>
      </c>
      <c r="BD185" s="210" t="str">
        <f t="shared" si="15"/>
        <v>INDENIZAÇÃO</v>
      </c>
      <c r="BE185" s="210" t="str">
        <f t="shared" si="14"/>
        <v>NÃO</v>
      </c>
      <c r="BF185" s="210" t="s">
        <v>24</v>
      </c>
      <c r="BG185" s="210" t="s">
        <v>24</v>
      </c>
      <c r="BH185" s="210" t="s">
        <v>24</v>
      </c>
      <c r="BI185" s="210" t="s">
        <v>105</v>
      </c>
      <c r="BJ185" s="210" t="s">
        <v>105</v>
      </c>
      <c r="BK185" s="213">
        <v>45621</v>
      </c>
      <c r="BL185" s="210" t="s">
        <v>105</v>
      </c>
      <c r="BM185" s="241" t="s">
        <v>220</v>
      </c>
      <c r="BN185" s="210"/>
      <c r="BO185" s="210"/>
      <c r="BP185" s="232"/>
      <c r="BQ185" s="232"/>
      <c r="BR185" s="232"/>
      <c r="BS185" s="232"/>
      <c r="BT185" s="232"/>
      <c r="BU185" s="232"/>
      <c r="BV185" s="232"/>
      <c r="BW185" s="232"/>
      <c r="BX185" s="232"/>
      <c r="BY185" s="232"/>
    </row>
    <row r="186" spans="1:162" ht="35.25" customHeight="1" x14ac:dyDescent="0.25">
      <c r="A186" s="210">
        <v>173</v>
      </c>
      <c r="B186" s="232" t="s">
        <v>1033</v>
      </c>
      <c r="C186" s="232">
        <v>2</v>
      </c>
      <c r="D186" s="232">
        <v>0</v>
      </c>
      <c r="E186" s="232">
        <v>0</v>
      </c>
      <c r="F186" s="219" t="s">
        <v>1034</v>
      </c>
      <c r="G186" s="232" t="s">
        <v>1</v>
      </c>
      <c r="H186" s="232" t="s">
        <v>366</v>
      </c>
      <c r="I186" s="232" t="s">
        <v>3</v>
      </c>
      <c r="J186" s="281" t="s">
        <v>1035</v>
      </c>
      <c r="K186" s="219" t="s">
        <v>1036</v>
      </c>
      <c r="L186" s="219" t="s">
        <v>1037</v>
      </c>
      <c r="M186" s="232" t="s">
        <v>4</v>
      </c>
      <c r="N186" s="232" t="s">
        <v>5</v>
      </c>
      <c r="O186" s="233">
        <v>45463</v>
      </c>
      <c r="P186" s="233" t="s">
        <v>24</v>
      </c>
      <c r="Q186" s="233" t="s">
        <v>24</v>
      </c>
      <c r="R186" s="233" t="s">
        <v>24</v>
      </c>
      <c r="S186" s="233" t="s">
        <v>24</v>
      </c>
      <c r="T186" s="233" t="s">
        <v>24</v>
      </c>
      <c r="U186" s="233" t="s">
        <v>24</v>
      </c>
      <c r="V186" s="233" t="s">
        <v>24</v>
      </c>
      <c r="W186" s="233" t="s">
        <v>24</v>
      </c>
      <c r="X186" s="233" t="s">
        <v>24</v>
      </c>
      <c r="Y186" s="233" t="s">
        <v>24</v>
      </c>
      <c r="Z186" s="233" t="s">
        <v>24</v>
      </c>
      <c r="AA186" s="232"/>
      <c r="AB186" s="281" t="s">
        <v>1035</v>
      </c>
      <c r="AC186" s="281" t="s">
        <v>1036</v>
      </c>
      <c r="AD186" s="281" t="s">
        <v>1037</v>
      </c>
      <c r="AE186" s="232" t="s">
        <v>3</v>
      </c>
      <c r="AF186" s="232" t="s">
        <v>4</v>
      </c>
      <c r="AG186" s="230">
        <v>2080.0500000000002</v>
      </c>
      <c r="AH186" s="230">
        <f t="shared" si="19"/>
        <v>32080.05</v>
      </c>
      <c r="AI186" s="232" t="s">
        <v>6</v>
      </c>
      <c r="AJ186" s="230" t="s">
        <v>104</v>
      </c>
      <c r="AK186" s="232" t="s">
        <v>105</v>
      </c>
      <c r="AL186" s="210" t="s">
        <v>105</v>
      </c>
      <c r="AM186" s="232" t="s">
        <v>105</v>
      </c>
      <c r="AN186" s="232" t="s">
        <v>106</v>
      </c>
      <c r="AO186" s="232" t="s">
        <v>1031</v>
      </c>
      <c r="AP186" s="219" t="s">
        <v>1038</v>
      </c>
      <c r="AQ186" s="232" t="s">
        <v>105</v>
      </c>
      <c r="AR186" s="232" t="s">
        <v>105</v>
      </c>
      <c r="AS186" s="210" t="s">
        <v>105</v>
      </c>
      <c r="AT186" s="210" t="s">
        <v>105</v>
      </c>
      <c r="AU186" s="233">
        <v>45558</v>
      </c>
      <c r="AV186" s="210" t="s">
        <v>105</v>
      </c>
      <c r="AW186" s="210" t="s">
        <v>105</v>
      </c>
      <c r="AX186" s="233">
        <v>45561</v>
      </c>
      <c r="AY186" s="221">
        <v>45561</v>
      </c>
      <c r="AZ186" s="221" t="s">
        <v>220</v>
      </c>
      <c r="BA186" s="235" t="s">
        <v>502</v>
      </c>
      <c r="BB186" s="217" t="s">
        <v>105</v>
      </c>
      <c r="BC186" s="218">
        <f t="shared" si="17"/>
        <v>98</v>
      </c>
      <c r="BD186" s="210" t="str">
        <f t="shared" si="15"/>
        <v>INDENIZAÇÃO</v>
      </c>
      <c r="BE186" s="210" t="str">
        <f t="shared" si="14"/>
        <v>NÃO</v>
      </c>
      <c r="BF186" s="210" t="s">
        <v>24</v>
      </c>
      <c r="BG186" s="210" t="s">
        <v>24</v>
      </c>
      <c r="BH186" s="210" t="s">
        <v>24</v>
      </c>
      <c r="BI186" s="210" t="s">
        <v>105</v>
      </c>
      <c r="BJ186" s="210" t="s">
        <v>105</v>
      </c>
      <c r="BK186" s="213">
        <v>45621</v>
      </c>
      <c r="BL186" s="210" t="s">
        <v>105</v>
      </c>
      <c r="BM186" s="241" t="s">
        <v>220</v>
      </c>
      <c r="BN186" s="210"/>
      <c r="BO186" s="210"/>
      <c r="BP186" s="232"/>
      <c r="BQ186" s="232"/>
      <c r="BR186" s="232"/>
      <c r="BS186" s="232"/>
      <c r="BT186" s="232"/>
      <c r="BU186" s="232"/>
      <c r="BV186" s="232"/>
      <c r="BW186" s="232"/>
      <c r="BX186" s="232"/>
      <c r="BY186" s="232"/>
    </row>
    <row r="187" spans="1:162" ht="35.25" customHeight="1" x14ac:dyDescent="0.25">
      <c r="A187" s="210">
        <v>174</v>
      </c>
      <c r="B187" s="286" t="s">
        <v>99</v>
      </c>
      <c r="C187" s="232">
        <v>2</v>
      </c>
      <c r="D187" s="232">
        <v>0</v>
      </c>
      <c r="E187" s="232">
        <v>0</v>
      </c>
      <c r="F187" s="281" t="s">
        <v>1039</v>
      </c>
      <c r="G187" s="232" t="s">
        <v>1</v>
      </c>
      <c r="H187" s="286" t="s">
        <v>366</v>
      </c>
      <c r="I187" s="286" t="s">
        <v>3</v>
      </c>
      <c r="J187" s="281" t="s">
        <v>1040</v>
      </c>
      <c r="K187" s="281" t="s">
        <v>1041</v>
      </c>
      <c r="L187" s="281" t="s">
        <v>1042</v>
      </c>
      <c r="M187" s="232" t="s">
        <v>4</v>
      </c>
      <c r="N187" s="232" t="s">
        <v>5</v>
      </c>
      <c r="O187" s="233">
        <v>45463</v>
      </c>
      <c r="P187" s="233" t="s">
        <v>24</v>
      </c>
      <c r="Q187" s="233" t="s">
        <v>24</v>
      </c>
      <c r="R187" s="233" t="s">
        <v>24</v>
      </c>
      <c r="S187" s="233" t="s">
        <v>24</v>
      </c>
      <c r="T187" s="233" t="s">
        <v>24</v>
      </c>
      <c r="U187" s="233" t="s">
        <v>24</v>
      </c>
      <c r="V187" s="233" t="s">
        <v>24</v>
      </c>
      <c r="W187" s="233" t="s">
        <v>24</v>
      </c>
      <c r="X187" s="233" t="s">
        <v>24</v>
      </c>
      <c r="Y187" s="233" t="s">
        <v>24</v>
      </c>
      <c r="Z187" s="233" t="s">
        <v>24</v>
      </c>
      <c r="AA187" s="232"/>
      <c r="AB187" s="281" t="s">
        <v>1040</v>
      </c>
      <c r="AC187" s="281" t="s">
        <v>1041</v>
      </c>
      <c r="AD187" s="281" t="s">
        <v>1042</v>
      </c>
      <c r="AE187" s="232" t="s">
        <v>3</v>
      </c>
      <c r="AF187" s="232" t="s">
        <v>4</v>
      </c>
      <c r="AG187" s="294">
        <v>1886.85</v>
      </c>
      <c r="AH187" s="294">
        <f t="shared" si="19"/>
        <v>31886.85</v>
      </c>
      <c r="AI187" s="232" t="s">
        <v>6</v>
      </c>
      <c r="AJ187" s="230" t="s">
        <v>104</v>
      </c>
      <c r="AK187" s="232" t="s">
        <v>105</v>
      </c>
      <c r="AL187" s="210" t="s">
        <v>105</v>
      </c>
      <c r="AM187" s="232" t="s">
        <v>105</v>
      </c>
      <c r="AN187" s="232" t="s">
        <v>106</v>
      </c>
      <c r="AO187" s="232" t="s">
        <v>1031</v>
      </c>
      <c r="AP187" s="234" t="s">
        <v>1043</v>
      </c>
      <c r="AQ187" s="232" t="s">
        <v>105</v>
      </c>
      <c r="AR187" s="232" t="s">
        <v>105</v>
      </c>
      <c r="AS187" s="210" t="s">
        <v>105</v>
      </c>
      <c r="AT187" s="210" t="s">
        <v>105</v>
      </c>
      <c r="AU187" s="233">
        <v>45558</v>
      </c>
      <c r="AV187" s="210" t="s">
        <v>105</v>
      </c>
      <c r="AW187" s="210" t="s">
        <v>105</v>
      </c>
      <c r="AX187" s="233">
        <v>45561</v>
      </c>
      <c r="AY187" s="221">
        <v>45561</v>
      </c>
      <c r="AZ187" s="221" t="s">
        <v>220</v>
      </c>
      <c r="BA187" s="235" t="s">
        <v>502</v>
      </c>
      <c r="BB187" s="217" t="s">
        <v>105</v>
      </c>
      <c r="BC187" s="218">
        <f t="shared" si="17"/>
        <v>98</v>
      </c>
      <c r="BD187" s="210" t="str">
        <f t="shared" ref="BD187:BD218" si="20">IF(AND(AI187&lt;&gt;"SIM",AI187="UH"),"AA","INDENIZAÇÃO")</f>
        <v>INDENIZAÇÃO</v>
      </c>
      <c r="BE187" s="210" t="str">
        <f t="shared" si="14"/>
        <v>NÃO</v>
      </c>
      <c r="BF187" s="210" t="s">
        <v>24</v>
      </c>
      <c r="BG187" s="210" t="s">
        <v>24</v>
      </c>
      <c r="BH187" s="210" t="s">
        <v>24</v>
      </c>
      <c r="BI187" s="210" t="s">
        <v>105</v>
      </c>
      <c r="BJ187" s="210" t="s">
        <v>105</v>
      </c>
      <c r="BK187" s="213">
        <v>45621</v>
      </c>
      <c r="BL187" s="210" t="s">
        <v>105</v>
      </c>
      <c r="BM187" s="241" t="s">
        <v>220</v>
      </c>
      <c r="BN187" s="210"/>
      <c r="BO187" s="210"/>
      <c r="BP187" s="210"/>
      <c r="BQ187" s="210"/>
      <c r="BR187" s="210"/>
      <c r="BS187" s="210"/>
      <c r="BT187" s="210"/>
      <c r="BU187" s="210"/>
      <c r="BV187" s="210"/>
      <c r="BW187" s="210"/>
      <c r="BX187" s="210"/>
      <c r="BY187" s="210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194"/>
      <c r="ET187" s="194"/>
      <c r="EU187" s="194"/>
      <c r="EV187" s="194"/>
      <c r="EW187" s="194"/>
      <c r="EX187" s="194"/>
      <c r="EY187" s="194"/>
      <c r="EZ187" s="194"/>
      <c r="FA187" s="194"/>
      <c r="FB187" s="194"/>
      <c r="FC187" s="194"/>
      <c r="FD187" s="194"/>
      <c r="FE187" s="194"/>
      <c r="FF187" s="194"/>
    </row>
    <row r="188" spans="1:162" ht="35.25" customHeight="1" x14ac:dyDescent="0.25">
      <c r="A188" s="210">
        <v>175</v>
      </c>
      <c r="B188" s="210" t="s">
        <v>99</v>
      </c>
      <c r="C188" s="210">
        <v>2</v>
      </c>
      <c r="D188" s="210">
        <v>0</v>
      </c>
      <c r="E188" s="210">
        <v>0</v>
      </c>
      <c r="F188" s="219" t="s">
        <v>1044</v>
      </c>
      <c r="G188" s="220" t="s">
        <v>1</v>
      </c>
      <c r="H188" s="210" t="s">
        <v>11</v>
      </c>
      <c r="I188" s="220" t="s">
        <v>3</v>
      </c>
      <c r="J188" s="219" t="s">
        <v>1045</v>
      </c>
      <c r="K188" s="219" t="s">
        <v>1046</v>
      </c>
      <c r="L188" s="219" t="s">
        <v>1047</v>
      </c>
      <c r="M188" s="232" t="s">
        <v>4</v>
      </c>
      <c r="N188" s="232" t="s">
        <v>591</v>
      </c>
      <c r="O188" s="213">
        <v>45019</v>
      </c>
      <c r="P188" s="233" t="s">
        <v>24</v>
      </c>
      <c r="Q188" s="233" t="s">
        <v>24</v>
      </c>
      <c r="R188" s="233" t="s">
        <v>24</v>
      </c>
      <c r="S188" s="233" t="s">
        <v>24</v>
      </c>
      <c r="T188" s="233" t="s">
        <v>24</v>
      </c>
      <c r="U188" s="233" t="s">
        <v>24</v>
      </c>
      <c r="V188" s="233" t="s">
        <v>24</v>
      </c>
      <c r="W188" s="233" t="s">
        <v>24</v>
      </c>
      <c r="X188" s="233" t="s">
        <v>24</v>
      </c>
      <c r="Y188" s="233" t="s">
        <v>24</v>
      </c>
      <c r="Z188" s="233" t="s">
        <v>24</v>
      </c>
      <c r="AA188" s="232"/>
      <c r="AB188" s="219" t="s">
        <v>1045</v>
      </c>
      <c r="AC188" s="219" t="s">
        <v>1046</v>
      </c>
      <c r="AD188" s="219" t="s">
        <v>1047</v>
      </c>
      <c r="AE188" s="210" t="s">
        <v>3</v>
      </c>
      <c r="AF188" s="232" t="s">
        <v>4</v>
      </c>
      <c r="AG188" s="230">
        <v>12800</v>
      </c>
      <c r="AH188" s="230">
        <f t="shared" si="19"/>
        <v>42800</v>
      </c>
      <c r="AI188" s="232" t="s">
        <v>6</v>
      </c>
      <c r="AJ188" s="230" t="s">
        <v>104</v>
      </c>
      <c r="AK188" s="232" t="s">
        <v>105</v>
      </c>
      <c r="AL188" s="232" t="s">
        <v>105</v>
      </c>
      <c r="AM188" s="232" t="s">
        <v>105</v>
      </c>
      <c r="AN188" s="232" t="s">
        <v>106</v>
      </c>
      <c r="AO188" s="259" t="s">
        <v>1048</v>
      </c>
      <c r="AP188" s="234" t="s">
        <v>1049</v>
      </c>
      <c r="AQ188" s="228" t="s">
        <v>501</v>
      </c>
      <c r="AR188" s="228" t="s">
        <v>501</v>
      </c>
      <c r="AS188" s="228" t="s">
        <v>501</v>
      </c>
      <c r="AT188" s="228" t="s">
        <v>501</v>
      </c>
      <c r="AU188" s="213">
        <v>45425</v>
      </c>
      <c r="AV188" s="228" t="s">
        <v>501</v>
      </c>
      <c r="AW188" s="228" t="s">
        <v>501</v>
      </c>
      <c r="AX188" s="213">
        <v>45432</v>
      </c>
      <c r="AY188" s="236">
        <v>45432</v>
      </c>
      <c r="AZ188" s="236" t="s">
        <v>220</v>
      </c>
      <c r="BA188" s="235" t="s">
        <v>502</v>
      </c>
      <c r="BB188" s="217" t="s">
        <v>105</v>
      </c>
      <c r="BC188" s="218">
        <f t="shared" si="17"/>
        <v>413</v>
      </c>
      <c r="BD188" s="210" t="str">
        <f t="shared" si="20"/>
        <v>INDENIZAÇÃO</v>
      </c>
      <c r="BE188" s="210" t="str">
        <f t="shared" si="14"/>
        <v>NÃO</v>
      </c>
      <c r="BF188" s="210" t="s">
        <v>24</v>
      </c>
      <c r="BG188" s="210" t="s">
        <v>24</v>
      </c>
      <c r="BH188" s="210" t="s">
        <v>24</v>
      </c>
      <c r="BI188" s="210" t="s">
        <v>105</v>
      </c>
      <c r="BJ188" s="210" t="s">
        <v>105</v>
      </c>
      <c r="BK188" s="213">
        <v>45483</v>
      </c>
      <c r="BL188" s="210" t="s">
        <v>105</v>
      </c>
      <c r="BM188" s="241" t="s">
        <v>220</v>
      </c>
      <c r="BN188" s="232"/>
      <c r="BO188" s="232"/>
      <c r="BP188" s="232"/>
      <c r="BQ188" s="232"/>
      <c r="BR188" s="232"/>
      <c r="BS188" s="232"/>
      <c r="BT188" s="232"/>
      <c r="BU188" s="232"/>
      <c r="BV188" s="232"/>
      <c r="BW188" s="232"/>
      <c r="BX188" s="232"/>
      <c r="BY188" s="232"/>
    </row>
    <row r="189" spans="1:162" ht="35.25" customHeight="1" x14ac:dyDescent="0.25">
      <c r="A189" s="210">
        <v>176</v>
      </c>
      <c r="B189" s="232" t="s">
        <v>99</v>
      </c>
      <c r="C189" s="232">
        <v>2</v>
      </c>
      <c r="D189" s="232">
        <v>0</v>
      </c>
      <c r="E189" s="232">
        <v>0</v>
      </c>
      <c r="F189" s="219" t="s">
        <v>1050</v>
      </c>
      <c r="G189" s="232" t="s">
        <v>1</v>
      </c>
      <c r="H189" s="232" t="s">
        <v>366</v>
      </c>
      <c r="I189" s="232" t="s">
        <v>3</v>
      </c>
      <c r="J189" s="281" t="s">
        <v>1051</v>
      </c>
      <c r="K189" s="281" t="s">
        <v>1052</v>
      </c>
      <c r="L189" s="281" t="s">
        <v>1053</v>
      </c>
      <c r="M189" s="232" t="s">
        <v>4</v>
      </c>
      <c r="N189" s="232" t="s">
        <v>591</v>
      </c>
      <c r="O189" s="233">
        <v>45463</v>
      </c>
      <c r="P189" s="233" t="s">
        <v>24</v>
      </c>
      <c r="Q189" s="233" t="s">
        <v>24</v>
      </c>
      <c r="R189" s="233" t="s">
        <v>24</v>
      </c>
      <c r="S189" s="233" t="s">
        <v>24</v>
      </c>
      <c r="T189" s="233" t="s">
        <v>24</v>
      </c>
      <c r="U189" s="233" t="s">
        <v>24</v>
      </c>
      <c r="V189" s="233" t="s">
        <v>24</v>
      </c>
      <c r="W189" s="233" t="s">
        <v>24</v>
      </c>
      <c r="X189" s="233" t="s">
        <v>24</v>
      </c>
      <c r="Y189" s="233" t="s">
        <v>24</v>
      </c>
      <c r="Z189" s="233" t="s">
        <v>24</v>
      </c>
      <c r="AA189" s="232"/>
      <c r="AB189" s="234" t="s">
        <v>1051</v>
      </c>
      <c r="AC189" s="281" t="s">
        <v>1052</v>
      </c>
      <c r="AD189" s="281" t="s">
        <v>1053</v>
      </c>
      <c r="AE189" s="232" t="s">
        <v>3</v>
      </c>
      <c r="AF189" s="232" t="s">
        <v>4</v>
      </c>
      <c r="AG189" s="294">
        <v>1096.07</v>
      </c>
      <c r="AH189" s="294">
        <f t="shared" si="19"/>
        <v>31096.07</v>
      </c>
      <c r="AI189" s="232" t="s">
        <v>6</v>
      </c>
      <c r="AJ189" s="230" t="s">
        <v>104</v>
      </c>
      <c r="AK189" s="232" t="s">
        <v>105</v>
      </c>
      <c r="AL189" s="210" t="s">
        <v>105</v>
      </c>
      <c r="AM189" s="232" t="s">
        <v>105</v>
      </c>
      <c r="AN189" s="232" t="s">
        <v>106</v>
      </c>
      <c r="AO189" s="232" t="s">
        <v>1031</v>
      </c>
      <c r="AP189" s="234" t="s">
        <v>1054</v>
      </c>
      <c r="AQ189" s="228" t="s">
        <v>501</v>
      </c>
      <c r="AR189" s="228" t="s">
        <v>501</v>
      </c>
      <c r="AS189" s="210" t="s">
        <v>105</v>
      </c>
      <c r="AT189" s="210" t="s">
        <v>105</v>
      </c>
      <c r="AU189" s="233">
        <v>45558</v>
      </c>
      <c r="AV189" s="210" t="s">
        <v>105</v>
      </c>
      <c r="AW189" s="210" t="s">
        <v>105</v>
      </c>
      <c r="AX189" s="233">
        <v>45562</v>
      </c>
      <c r="AY189" s="236">
        <v>45562</v>
      </c>
      <c r="AZ189" s="236" t="s">
        <v>220</v>
      </c>
      <c r="BA189" s="235" t="s">
        <v>502</v>
      </c>
      <c r="BB189" s="217" t="s">
        <v>105</v>
      </c>
      <c r="BC189" s="218">
        <f t="shared" si="17"/>
        <v>99</v>
      </c>
      <c r="BD189" s="210" t="str">
        <f t="shared" si="20"/>
        <v>INDENIZAÇÃO</v>
      </c>
      <c r="BE189" s="210" t="str">
        <f t="shared" si="14"/>
        <v>NÃO</v>
      </c>
      <c r="BF189" s="210" t="s">
        <v>24</v>
      </c>
      <c r="BG189" s="210" t="s">
        <v>24</v>
      </c>
      <c r="BH189" s="210" t="s">
        <v>24</v>
      </c>
      <c r="BI189" s="210" t="s">
        <v>105</v>
      </c>
      <c r="BJ189" s="210" t="s">
        <v>105</v>
      </c>
      <c r="BK189" s="213">
        <v>45621</v>
      </c>
      <c r="BL189" s="210" t="s">
        <v>105</v>
      </c>
      <c r="BM189" s="241" t="s">
        <v>220</v>
      </c>
      <c r="BN189" s="210"/>
      <c r="BO189" s="210"/>
      <c r="BP189" s="210"/>
      <c r="BQ189" s="210"/>
      <c r="BR189" s="210"/>
      <c r="BS189" s="210"/>
      <c r="BT189" s="210"/>
      <c r="BU189" s="210"/>
      <c r="BV189" s="210"/>
      <c r="BW189" s="210"/>
      <c r="BX189" s="210"/>
      <c r="BY189" s="210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  <c r="DJ189" s="194"/>
      <c r="DK189" s="194"/>
      <c r="DL189" s="194"/>
      <c r="DM189" s="194"/>
      <c r="DN189" s="194"/>
      <c r="DO189" s="194"/>
      <c r="DP189" s="194"/>
      <c r="DQ189" s="194"/>
      <c r="DR189" s="194"/>
      <c r="DS189" s="194"/>
      <c r="DT189" s="194"/>
      <c r="DU189" s="194"/>
      <c r="DV189" s="194"/>
      <c r="DW189" s="194"/>
      <c r="DX189" s="194"/>
      <c r="DY189" s="194"/>
      <c r="DZ189" s="194"/>
      <c r="EA189" s="194"/>
      <c r="EB189" s="194"/>
      <c r="EC189" s="194"/>
      <c r="ED189" s="194"/>
      <c r="EE189" s="194"/>
      <c r="EF189" s="194"/>
      <c r="EG189" s="194"/>
      <c r="EH189" s="194"/>
      <c r="EI189" s="194"/>
      <c r="EJ189" s="194"/>
      <c r="EK189" s="194"/>
      <c r="EL189" s="194"/>
      <c r="EM189" s="194"/>
      <c r="EN189" s="194"/>
      <c r="EO189" s="194"/>
      <c r="EP189" s="194"/>
      <c r="EQ189" s="194"/>
      <c r="ER189" s="194"/>
      <c r="ES189" s="194"/>
      <c r="ET189" s="194"/>
      <c r="EU189" s="194"/>
      <c r="EV189" s="194"/>
      <c r="EW189" s="194"/>
      <c r="EX189" s="194"/>
      <c r="EY189" s="194"/>
      <c r="EZ189" s="194"/>
      <c r="FA189" s="194"/>
      <c r="FB189" s="194"/>
      <c r="FC189" s="194"/>
      <c r="FD189" s="194"/>
      <c r="FE189" s="194"/>
      <c r="FF189" s="194"/>
    </row>
    <row r="190" spans="1:162" ht="35.25" customHeight="1" x14ac:dyDescent="0.25">
      <c r="A190" s="210">
        <v>177</v>
      </c>
      <c r="B190" s="210" t="s">
        <v>99</v>
      </c>
      <c r="C190" s="210">
        <v>2</v>
      </c>
      <c r="D190" s="210">
        <v>0</v>
      </c>
      <c r="E190" s="210">
        <v>0</v>
      </c>
      <c r="F190" s="219" t="s">
        <v>1055</v>
      </c>
      <c r="G190" s="220" t="s">
        <v>1</v>
      </c>
      <c r="H190" s="220" t="s">
        <v>2</v>
      </c>
      <c r="I190" s="210" t="s">
        <v>12</v>
      </c>
      <c r="J190" s="219" t="s">
        <v>1056</v>
      </c>
      <c r="K190" s="219" t="s">
        <v>1057</v>
      </c>
      <c r="L190" s="219" t="s">
        <v>1058</v>
      </c>
      <c r="M190" s="232" t="s">
        <v>4</v>
      </c>
      <c r="N190" s="232" t="s">
        <v>5</v>
      </c>
      <c r="O190" s="213">
        <v>45216</v>
      </c>
      <c r="P190" s="233" t="s">
        <v>24</v>
      </c>
      <c r="Q190" s="233" t="s">
        <v>24</v>
      </c>
      <c r="R190" s="233" t="s">
        <v>24</v>
      </c>
      <c r="S190" s="233" t="s">
        <v>24</v>
      </c>
      <c r="T190" s="233" t="s">
        <v>24</v>
      </c>
      <c r="U190" s="233" t="s">
        <v>24</v>
      </c>
      <c r="V190" s="233" t="s">
        <v>24</v>
      </c>
      <c r="W190" s="233" t="s">
        <v>24</v>
      </c>
      <c r="X190" s="233" t="s">
        <v>24</v>
      </c>
      <c r="Y190" s="233" t="s">
        <v>24</v>
      </c>
      <c r="Z190" s="233" t="s">
        <v>24</v>
      </c>
      <c r="AA190" s="232"/>
      <c r="AB190" s="219" t="s">
        <v>1056</v>
      </c>
      <c r="AC190" s="219" t="s">
        <v>1057</v>
      </c>
      <c r="AD190" s="219" t="s">
        <v>1058</v>
      </c>
      <c r="AE190" s="220" t="s">
        <v>12</v>
      </c>
      <c r="AF190" s="232" t="s">
        <v>4</v>
      </c>
      <c r="AG190" s="230">
        <f>AH190-30000</f>
        <v>1200</v>
      </c>
      <c r="AH190" s="230">
        <v>31200</v>
      </c>
      <c r="AI190" s="232" t="s">
        <v>6</v>
      </c>
      <c r="AJ190" s="230" t="s">
        <v>104</v>
      </c>
      <c r="AK190" s="232" t="s">
        <v>105</v>
      </c>
      <c r="AL190" s="232" t="s">
        <v>105</v>
      </c>
      <c r="AM190" s="232" t="s">
        <v>105</v>
      </c>
      <c r="AN190" s="232" t="s">
        <v>106</v>
      </c>
      <c r="AO190" s="259" t="s">
        <v>1059</v>
      </c>
      <c r="AP190" s="234" t="s">
        <v>1060</v>
      </c>
      <c r="AQ190" s="228" t="s">
        <v>501</v>
      </c>
      <c r="AR190" s="228" t="s">
        <v>501</v>
      </c>
      <c r="AS190" s="228" t="s">
        <v>501</v>
      </c>
      <c r="AT190" s="228" t="s">
        <v>501</v>
      </c>
      <c r="AU190" s="213">
        <v>45425</v>
      </c>
      <c r="AV190" s="228" t="s">
        <v>501</v>
      </c>
      <c r="AW190" s="228" t="s">
        <v>501</v>
      </c>
      <c r="AX190" s="213">
        <v>45429</v>
      </c>
      <c r="AY190" s="236">
        <v>45429</v>
      </c>
      <c r="AZ190" s="236" t="s">
        <v>220</v>
      </c>
      <c r="BA190" s="235" t="s">
        <v>502</v>
      </c>
      <c r="BB190" s="217" t="s">
        <v>105</v>
      </c>
      <c r="BC190" s="218">
        <f t="shared" si="17"/>
        <v>213</v>
      </c>
      <c r="BD190" s="210" t="str">
        <f t="shared" si="20"/>
        <v>INDENIZAÇÃO</v>
      </c>
      <c r="BE190" s="210" t="str">
        <f t="shared" si="14"/>
        <v>NÃO</v>
      </c>
      <c r="BF190" s="210" t="s">
        <v>24</v>
      </c>
      <c r="BG190" s="210" t="s">
        <v>24</v>
      </c>
      <c r="BH190" s="210" t="s">
        <v>24</v>
      </c>
      <c r="BI190" s="210" t="s">
        <v>105</v>
      </c>
      <c r="BJ190" s="210" t="s">
        <v>105</v>
      </c>
      <c r="BK190" s="213">
        <v>45483</v>
      </c>
      <c r="BL190" s="210" t="s">
        <v>105</v>
      </c>
      <c r="BM190" s="241" t="s">
        <v>220</v>
      </c>
      <c r="BN190" s="232"/>
      <c r="BO190" s="232"/>
      <c r="BP190" s="232"/>
      <c r="BQ190" s="232"/>
      <c r="BR190" s="232"/>
      <c r="BS190" s="232"/>
      <c r="BT190" s="232"/>
      <c r="BU190" s="232"/>
      <c r="BV190" s="232"/>
      <c r="BW190" s="232"/>
      <c r="BX190" s="232"/>
      <c r="BY190" s="232"/>
    </row>
    <row r="191" spans="1:162" ht="35.25" hidden="1" customHeight="1" x14ac:dyDescent="0.25">
      <c r="A191" s="210">
        <v>178</v>
      </c>
      <c r="B191" s="210" t="s">
        <v>99</v>
      </c>
      <c r="C191" s="210">
        <v>2</v>
      </c>
      <c r="D191" s="210">
        <v>0</v>
      </c>
      <c r="E191" s="210">
        <v>0</v>
      </c>
      <c r="F191" s="219" t="s">
        <v>1061</v>
      </c>
      <c r="G191" s="220" t="s">
        <v>1</v>
      </c>
      <c r="H191" s="220" t="s">
        <v>2</v>
      </c>
      <c r="I191" s="210" t="s">
        <v>12</v>
      </c>
      <c r="J191" s="219" t="s">
        <v>1062</v>
      </c>
      <c r="K191" s="219" t="s">
        <v>1063</v>
      </c>
      <c r="L191" s="219" t="s">
        <v>1064</v>
      </c>
      <c r="M191" s="232" t="s">
        <v>4</v>
      </c>
      <c r="N191" s="220" t="s">
        <v>14</v>
      </c>
      <c r="O191" s="213">
        <v>45019</v>
      </c>
      <c r="P191" s="233">
        <v>45189</v>
      </c>
      <c r="Q191" s="213" t="s">
        <v>114</v>
      </c>
      <c r="R191" s="233" t="s">
        <v>105</v>
      </c>
      <c r="S191" s="233" t="s">
        <v>105</v>
      </c>
      <c r="T191" s="213" t="s">
        <v>105</v>
      </c>
      <c r="U191" s="233">
        <v>45236</v>
      </c>
      <c r="V191" s="233" t="s">
        <v>105</v>
      </c>
      <c r="W191" s="233">
        <v>45237</v>
      </c>
      <c r="X191" s="251">
        <v>45253</v>
      </c>
      <c r="Y191" s="236" t="s">
        <v>220</v>
      </c>
      <c r="Z191" s="236"/>
      <c r="AA191" s="232"/>
      <c r="AB191" s="219" t="s">
        <v>1062</v>
      </c>
      <c r="AC191" s="219" t="s">
        <v>1063</v>
      </c>
      <c r="AD191" s="219" t="s">
        <v>1064</v>
      </c>
      <c r="AE191" s="220" t="s">
        <v>12</v>
      </c>
      <c r="AF191" s="232" t="s">
        <v>4</v>
      </c>
      <c r="AG191" s="230">
        <v>0</v>
      </c>
      <c r="AH191" s="230">
        <v>0</v>
      </c>
      <c r="AI191" s="232" t="s">
        <v>23</v>
      </c>
      <c r="AJ191" s="230" t="s">
        <v>104</v>
      </c>
      <c r="AK191" s="232" t="s">
        <v>105</v>
      </c>
      <c r="AL191" s="232" t="s">
        <v>24</v>
      </c>
      <c r="AM191" s="232" t="s">
        <v>24</v>
      </c>
      <c r="AN191" s="232" t="s">
        <v>24</v>
      </c>
      <c r="AO191" s="232"/>
      <c r="AP191" s="234" t="s">
        <v>24</v>
      </c>
      <c r="AQ191" s="232" t="s">
        <v>24</v>
      </c>
      <c r="AR191" s="232" t="s">
        <v>24</v>
      </c>
      <c r="AS191" s="232" t="s">
        <v>24</v>
      </c>
      <c r="AT191" s="232" t="s">
        <v>24</v>
      </c>
      <c r="AU191" s="232" t="s">
        <v>24</v>
      </c>
      <c r="AV191" s="232" t="s">
        <v>24</v>
      </c>
      <c r="AW191" s="232" t="s">
        <v>24</v>
      </c>
      <c r="AX191" s="251">
        <v>45253</v>
      </c>
      <c r="AY191" s="232"/>
      <c r="AZ191" s="233"/>
      <c r="BA191" s="232"/>
      <c r="BB191" s="232"/>
      <c r="BC191" s="218" t="str">
        <f t="shared" si="17"/>
        <v/>
      </c>
      <c r="BD191" s="210" t="str">
        <f t="shared" si="20"/>
        <v>AA</v>
      </c>
      <c r="BE191" s="210" t="str">
        <f t="shared" si="14"/>
        <v>NÃO</v>
      </c>
      <c r="BF191" s="210" t="s">
        <v>24</v>
      </c>
      <c r="BG191" s="210" t="s">
        <v>24</v>
      </c>
      <c r="BH191" s="210" t="s">
        <v>24</v>
      </c>
      <c r="BI191" s="210" t="s">
        <v>24</v>
      </c>
      <c r="BJ191" s="210" t="s">
        <v>24</v>
      </c>
      <c r="BK191" s="210" t="s">
        <v>24</v>
      </c>
      <c r="BL191" s="210" t="s">
        <v>24</v>
      </c>
      <c r="BM191" s="210"/>
      <c r="BN191" s="232"/>
      <c r="BO191" s="232"/>
      <c r="BP191" s="232"/>
      <c r="BQ191" s="232"/>
      <c r="BR191" s="232"/>
      <c r="BS191" s="232"/>
      <c r="BT191" s="232"/>
      <c r="BU191" s="232"/>
      <c r="BV191" s="232"/>
      <c r="BW191" s="232"/>
      <c r="BX191" s="232"/>
      <c r="BY191" s="232"/>
    </row>
    <row r="192" spans="1:162" ht="35.25" customHeight="1" x14ac:dyDescent="0.25">
      <c r="A192" s="210">
        <v>179</v>
      </c>
      <c r="B192" s="210" t="s">
        <v>99</v>
      </c>
      <c r="C192" s="210">
        <v>2</v>
      </c>
      <c r="D192" s="210">
        <v>0</v>
      </c>
      <c r="E192" s="210">
        <v>0</v>
      </c>
      <c r="F192" s="219" t="s">
        <v>1065</v>
      </c>
      <c r="G192" s="220" t="s">
        <v>1</v>
      </c>
      <c r="H192" s="220" t="s">
        <v>2</v>
      </c>
      <c r="I192" s="210" t="s">
        <v>12</v>
      </c>
      <c r="J192" s="219" t="s">
        <v>1066</v>
      </c>
      <c r="K192" s="219" t="s">
        <v>1067</v>
      </c>
      <c r="L192" s="219" t="s">
        <v>1068</v>
      </c>
      <c r="M192" s="232" t="s">
        <v>4</v>
      </c>
      <c r="N192" s="232" t="s">
        <v>5</v>
      </c>
      <c r="O192" s="213">
        <v>45216</v>
      </c>
      <c r="P192" s="233" t="s">
        <v>24</v>
      </c>
      <c r="Q192" s="233" t="s">
        <v>24</v>
      </c>
      <c r="R192" s="233" t="s">
        <v>24</v>
      </c>
      <c r="S192" s="233" t="s">
        <v>24</v>
      </c>
      <c r="T192" s="213" t="s">
        <v>105</v>
      </c>
      <c r="U192" s="233" t="s">
        <v>24</v>
      </c>
      <c r="V192" s="233" t="s">
        <v>24</v>
      </c>
      <c r="W192" s="233" t="s">
        <v>24</v>
      </c>
      <c r="X192" s="233" t="s">
        <v>24</v>
      </c>
      <c r="Y192" s="233" t="s">
        <v>24</v>
      </c>
      <c r="Z192" s="233" t="s">
        <v>24</v>
      </c>
      <c r="AA192" s="232"/>
      <c r="AB192" s="219" t="s">
        <v>1066</v>
      </c>
      <c r="AC192" s="219" t="s">
        <v>1067</v>
      </c>
      <c r="AD192" s="219" t="s">
        <v>1068</v>
      </c>
      <c r="AE192" s="220" t="s">
        <v>12</v>
      </c>
      <c r="AF192" s="232" t="s">
        <v>4</v>
      </c>
      <c r="AG192" s="230">
        <v>0</v>
      </c>
      <c r="AH192" s="230">
        <v>60000</v>
      </c>
      <c r="AI192" s="232" t="s">
        <v>6</v>
      </c>
      <c r="AJ192" s="230" t="s">
        <v>104</v>
      </c>
      <c r="AK192" s="232" t="s">
        <v>105</v>
      </c>
      <c r="AL192" s="232" t="s">
        <v>105</v>
      </c>
      <c r="AM192" s="232" t="s">
        <v>105</v>
      </c>
      <c r="AN192" s="232" t="s">
        <v>106</v>
      </c>
      <c r="AO192" s="232"/>
      <c r="AP192" s="234" t="s">
        <v>1069</v>
      </c>
      <c r="AQ192" s="250" t="s">
        <v>105</v>
      </c>
      <c r="AR192" s="250" t="s">
        <v>105</v>
      </c>
      <c r="AS192" s="232" t="s">
        <v>105</v>
      </c>
      <c r="AT192" s="232" t="s">
        <v>105</v>
      </c>
      <c r="AU192" s="233">
        <v>45278</v>
      </c>
      <c r="AV192" s="232" t="s">
        <v>105</v>
      </c>
      <c r="AW192" s="228" t="s">
        <v>105</v>
      </c>
      <c r="AX192" s="233">
        <v>45350</v>
      </c>
      <c r="AY192" s="221">
        <v>45350</v>
      </c>
      <c r="AZ192" s="236" t="s">
        <v>220</v>
      </c>
      <c r="BA192" s="235" t="s">
        <v>502</v>
      </c>
      <c r="BB192" s="217" t="s">
        <v>105</v>
      </c>
      <c r="BC192" s="218">
        <f t="shared" si="17"/>
        <v>134</v>
      </c>
      <c r="BD192" s="210" t="str">
        <f t="shared" si="20"/>
        <v>INDENIZAÇÃO</v>
      </c>
      <c r="BE192" s="210" t="str">
        <f t="shared" si="14"/>
        <v>NÃO</v>
      </c>
      <c r="BF192" s="210" t="s">
        <v>24</v>
      </c>
      <c r="BG192" s="210" t="s">
        <v>24</v>
      </c>
      <c r="BH192" s="210" t="s">
        <v>24</v>
      </c>
      <c r="BI192" s="210" t="s">
        <v>105</v>
      </c>
      <c r="BJ192" s="210" t="s">
        <v>105</v>
      </c>
      <c r="BK192" s="213">
        <v>45510</v>
      </c>
      <c r="BL192" s="210" t="s">
        <v>105</v>
      </c>
      <c r="BM192" s="241" t="s">
        <v>220</v>
      </c>
      <c r="BN192" s="232"/>
      <c r="BO192" s="232"/>
      <c r="BP192" s="232"/>
      <c r="BQ192" s="232"/>
      <c r="BR192" s="232"/>
      <c r="BS192" s="232"/>
      <c r="BT192" s="232"/>
      <c r="BU192" s="232"/>
      <c r="BV192" s="232"/>
      <c r="BW192" s="232"/>
      <c r="BX192" s="232"/>
      <c r="BY192" s="232"/>
    </row>
    <row r="193" spans="1:77" ht="35.25" customHeight="1" x14ac:dyDescent="0.25">
      <c r="A193" s="210">
        <v>180</v>
      </c>
      <c r="B193" s="210" t="s">
        <v>99</v>
      </c>
      <c r="C193" s="210">
        <v>2</v>
      </c>
      <c r="D193" s="210">
        <v>0</v>
      </c>
      <c r="E193" s="210">
        <v>0</v>
      </c>
      <c r="F193" s="219" t="s">
        <v>1070</v>
      </c>
      <c r="G193" s="210" t="s">
        <v>10</v>
      </c>
      <c r="H193" s="210" t="s">
        <v>2</v>
      </c>
      <c r="I193" s="220" t="s">
        <v>3</v>
      </c>
      <c r="J193" s="219" t="s">
        <v>1071</v>
      </c>
      <c r="K193" s="219" t="s">
        <v>1072</v>
      </c>
      <c r="L193" s="219" t="s">
        <v>1073</v>
      </c>
      <c r="M193" s="232" t="s">
        <v>4</v>
      </c>
      <c r="N193" s="232" t="s">
        <v>5</v>
      </c>
      <c r="O193" s="213">
        <v>45077</v>
      </c>
      <c r="P193" s="233" t="s">
        <v>24</v>
      </c>
      <c r="Q193" s="233" t="s">
        <v>24</v>
      </c>
      <c r="R193" s="233" t="s">
        <v>24</v>
      </c>
      <c r="S193" s="233" t="s">
        <v>24</v>
      </c>
      <c r="T193" s="233" t="s">
        <v>24</v>
      </c>
      <c r="U193" s="233" t="s">
        <v>24</v>
      </c>
      <c r="V193" s="233" t="s">
        <v>24</v>
      </c>
      <c r="W193" s="233" t="s">
        <v>24</v>
      </c>
      <c r="X193" s="233" t="s">
        <v>24</v>
      </c>
      <c r="Y193" s="233" t="s">
        <v>24</v>
      </c>
      <c r="Z193" s="233" t="s">
        <v>24</v>
      </c>
      <c r="AA193" s="232"/>
      <c r="AB193" s="219" t="s">
        <v>1071</v>
      </c>
      <c r="AC193" s="219" t="s">
        <v>1072</v>
      </c>
      <c r="AD193" s="219" t="s">
        <v>1073</v>
      </c>
      <c r="AE193" s="220" t="s">
        <v>3</v>
      </c>
      <c r="AF193" s="232" t="s">
        <v>4</v>
      </c>
      <c r="AG193" s="230">
        <f t="shared" ref="AG193:AG199" si="21">AH193-30000</f>
        <v>22277.769999999997</v>
      </c>
      <c r="AH193" s="230">
        <v>52277.77</v>
      </c>
      <c r="AI193" s="232" t="s">
        <v>6</v>
      </c>
      <c r="AJ193" s="230" t="s">
        <v>104</v>
      </c>
      <c r="AK193" s="232" t="s">
        <v>105</v>
      </c>
      <c r="AL193" s="232" t="s">
        <v>105</v>
      </c>
      <c r="AM193" s="232" t="s">
        <v>105</v>
      </c>
      <c r="AN193" s="232" t="s">
        <v>106</v>
      </c>
      <c r="AO193" s="250"/>
      <c r="AP193" s="234" t="s">
        <v>1074</v>
      </c>
      <c r="AQ193" s="232" t="s">
        <v>105</v>
      </c>
      <c r="AR193" s="232" t="s">
        <v>105</v>
      </c>
      <c r="AS193" s="250" t="s">
        <v>105</v>
      </c>
      <c r="AT193" s="250" t="s">
        <v>105</v>
      </c>
      <c r="AU193" s="213">
        <v>45273</v>
      </c>
      <c r="AV193" s="250" t="s">
        <v>105</v>
      </c>
      <c r="AW193" s="228" t="s">
        <v>105</v>
      </c>
      <c r="AX193" s="229">
        <v>45294</v>
      </c>
      <c r="AY193" s="236">
        <v>45300</v>
      </c>
      <c r="AZ193" s="233">
        <v>45041</v>
      </c>
      <c r="BA193" s="232" t="s">
        <v>30</v>
      </c>
      <c r="BB193" s="217" t="s">
        <v>105</v>
      </c>
      <c r="BC193" s="218">
        <f t="shared" si="17"/>
        <v>223</v>
      </c>
      <c r="BD193" s="210" t="str">
        <f t="shared" si="20"/>
        <v>INDENIZAÇÃO</v>
      </c>
      <c r="BE193" s="210" t="str">
        <f t="shared" si="14"/>
        <v>NÃO</v>
      </c>
      <c r="BF193" s="210" t="s">
        <v>24</v>
      </c>
      <c r="BG193" s="210" t="s">
        <v>24</v>
      </c>
      <c r="BH193" s="210" t="s">
        <v>24</v>
      </c>
      <c r="BI193" s="210" t="s">
        <v>105</v>
      </c>
      <c r="BJ193" s="210" t="s">
        <v>105</v>
      </c>
      <c r="BK193" s="213">
        <v>45510</v>
      </c>
      <c r="BL193" s="210" t="s">
        <v>105</v>
      </c>
      <c r="BM193" s="266" t="s">
        <v>105</v>
      </c>
      <c r="BN193" s="232"/>
      <c r="BO193" s="232"/>
      <c r="BP193" s="232"/>
      <c r="BQ193" s="232"/>
      <c r="BR193" s="232"/>
      <c r="BS193" s="232"/>
      <c r="BT193" s="232"/>
      <c r="BU193" s="232"/>
      <c r="BV193" s="232"/>
      <c r="BW193" s="232"/>
      <c r="BX193" s="232"/>
      <c r="BY193" s="232"/>
    </row>
    <row r="194" spans="1:77" ht="35.25" customHeight="1" x14ac:dyDescent="0.25">
      <c r="A194" s="210">
        <v>181</v>
      </c>
      <c r="B194" s="210" t="s">
        <v>99</v>
      </c>
      <c r="C194" s="210">
        <v>2</v>
      </c>
      <c r="D194" s="210">
        <v>0</v>
      </c>
      <c r="E194" s="210">
        <v>0</v>
      </c>
      <c r="F194" s="219" t="s">
        <v>1075</v>
      </c>
      <c r="G194" s="210" t="s">
        <v>10</v>
      </c>
      <c r="H194" s="210" t="s">
        <v>2</v>
      </c>
      <c r="I194" s="220" t="s">
        <v>3</v>
      </c>
      <c r="J194" s="219" t="s">
        <v>1076</v>
      </c>
      <c r="K194" s="219" t="s">
        <v>1077</v>
      </c>
      <c r="L194" s="219" t="s">
        <v>1078</v>
      </c>
      <c r="M194" s="232" t="s">
        <v>4</v>
      </c>
      <c r="N194" s="232" t="s">
        <v>5</v>
      </c>
      <c r="O194" s="213">
        <v>45077</v>
      </c>
      <c r="P194" s="233" t="s">
        <v>24</v>
      </c>
      <c r="Q194" s="233" t="s">
        <v>24</v>
      </c>
      <c r="R194" s="233" t="s">
        <v>24</v>
      </c>
      <c r="S194" s="233" t="s">
        <v>24</v>
      </c>
      <c r="T194" s="233" t="s">
        <v>24</v>
      </c>
      <c r="U194" s="233" t="s">
        <v>24</v>
      </c>
      <c r="V194" s="233" t="s">
        <v>24</v>
      </c>
      <c r="W194" s="233" t="s">
        <v>24</v>
      </c>
      <c r="X194" s="233" t="s">
        <v>24</v>
      </c>
      <c r="Y194" s="233" t="s">
        <v>24</v>
      </c>
      <c r="Z194" s="233" t="s">
        <v>24</v>
      </c>
      <c r="AA194" s="232"/>
      <c r="AB194" s="219" t="s">
        <v>1076</v>
      </c>
      <c r="AC194" s="219" t="s">
        <v>1077</v>
      </c>
      <c r="AD194" s="219" t="s">
        <v>1078</v>
      </c>
      <c r="AE194" s="220" t="s">
        <v>3</v>
      </c>
      <c r="AF194" s="232" t="s">
        <v>4</v>
      </c>
      <c r="AG194" s="230">
        <f t="shared" si="21"/>
        <v>3300</v>
      </c>
      <c r="AH194" s="230">
        <v>33300</v>
      </c>
      <c r="AI194" s="232" t="s">
        <v>6</v>
      </c>
      <c r="AJ194" s="230" t="s">
        <v>104</v>
      </c>
      <c r="AK194" s="232" t="s">
        <v>105</v>
      </c>
      <c r="AL194" s="232" t="s">
        <v>105</v>
      </c>
      <c r="AM194" s="232" t="s">
        <v>105</v>
      </c>
      <c r="AN194" s="232" t="s">
        <v>106</v>
      </c>
      <c r="AO194" s="232"/>
      <c r="AP194" s="249" t="s">
        <v>1079</v>
      </c>
      <c r="AQ194" s="250" t="s">
        <v>105</v>
      </c>
      <c r="AR194" s="250" t="s">
        <v>105</v>
      </c>
      <c r="AS194" s="250" t="s">
        <v>105</v>
      </c>
      <c r="AT194" s="250" t="s">
        <v>105</v>
      </c>
      <c r="AU194" s="213">
        <v>45273</v>
      </c>
      <c r="AV194" s="250" t="s">
        <v>105</v>
      </c>
      <c r="AW194" s="228" t="s">
        <v>105</v>
      </c>
      <c r="AX194" s="229">
        <v>45294</v>
      </c>
      <c r="AY194" s="236">
        <v>45300</v>
      </c>
      <c r="AZ194" s="233">
        <v>45040</v>
      </c>
      <c r="BA194" s="232" t="s">
        <v>30</v>
      </c>
      <c r="BB194" s="217" t="s">
        <v>105</v>
      </c>
      <c r="BC194" s="218">
        <f t="shared" si="17"/>
        <v>223</v>
      </c>
      <c r="BD194" s="210" t="str">
        <f t="shared" si="20"/>
        <v>INDENIZAÇÃO</v>
      </c>
      <c r="BE194" s="210" t="str">
        <f t="shared" si="14"/>
        <v>NÃO</v>
      </c>
      <c r="BF194" s="210" t="s">
        <v>24</v>
      </c>
      <c r="BG194" s="210" t="s">
        <v>24</v>
      </c>
      <c r="BH194" s="210" t="s">
        <v>24</v>
      </c>
      <c r="BI194" s="210" t="s">
        <v>105</v>
      </c>
      <c r="BJ194" s="210" t="s">
        <v>105</v>
      </c>
      <c r="BK194" s="213">
        <v>45510</v>
      </c>
      <c r="BL194" s="210" t="s">
        <v>105</v>
      </c>
      <c r="BM194" s="266" t="s">
        <v>105</v>
      </c>
      <c r="BN194" s="232"/>
      <c r="BO194" s="232"/>
      <c r="BP194" s="232"/>
      <c r="BQ194" s="232"/>
      <c r="BR194" s="232"/>
      <c r="BS194" s="232"/>
      <c r="BT194" s="232"/>
      <c r="BU194" s="232"/>
      <c r="BV194" s="232"/>
      <c r="BW194" s="232"/>
      <c r="BX194" s="232"/>
      <c r="BY194" s="232"/>
    </row>
    <row r="195" spans="1:77" ht="35.25" customHeight="1" x14ac:dyDescent="0.25">
      <c r="A195" s="210">
        <v>182</v>
      </c>
      <c r="B195" s="210" t="s">
        <v>99</v>
      </c>
      <c r="C195" s="210">
        <v>2</v>
      </c>
      <c r="D195" s="210">
        <v>0</v>
      </c>
      <c r="E195" s="210">
        <v>0</v>
      </c>
      <c r="F195" s="219" t="s">
        <v>1080</v>
      </c>
      <c r="G195" s="220" t="s">
        <v>26</v>
      </c>
      <c r="H195" s="220" t="s">
        <v>2</v>
      </c>
      <c r="I195" s="220" t="s">
        <v>3</v>
      </c>
      <c r="J195" s="219" t="s">
        <v>1081</v>
      </c>
      <c r="K195" s="219" t="s">
        <v>1082</v>
      </c>
      <c r="L195" s="219" t="s">
        <v>1083</v>
      </c>
      <c r="M195" s="232" t="s">
        <v>4</v>
      </c>
      <c r="N195" s="232" t="s">
        <v>5</v>
      </c>
      <c r="O195" s="213">
        <v>45216</v>
      </c>
      <c r="P195" s="233" t="s">
        <v>24</v>
      </c>
      <c r="Q195" s="233" t="s">
        <v>24</v>
      </c>
      <c r="R195" s="233" t="s">
        <v>24</v>
      </c>
      <c r="S195" s="233" t="s">
        <v>24</v>
      </c>
      <c r="T195" s="233" t="s">
        <v>24</v>
      </c>
      <c r="U195" s="233" t="s">
        <v>24</v>
      </c>
      <c r="V195" s="233" t="s">
        <v>24</v>
      </c>
      <c r="W195" s="233" t="s">
        <v>24</v>
      </c>
      <c r="X195" s="233" t="s">
        <v>24</v>
      </c>
      <c r="Y195" s="233" t="s">
        <v>24</v>
      </c>
      <c r="Z195" s="233" t="s">
        <v>24</v>
      </c>
      <c r="AA195" s="232"/>
      <c r="AB195" s="219" t="s">
        <v>1081</v>
      </c>
      <c r="AC195" s="219" t="s">
        <v>1082</v>
      </c>
      <c r="AD195" s="219" t="s">
        <v>1083</v>
      </c>
      <c r="AE195" s="210" t="s">
        <v>3</v>
      </c>
      <c r="AF195" s="232" t="s">
        <v>4</v>
      </c>
      <c r="AG195" s="230">
        <f t="shared" si="21"/>
        <v>300</v>
      </c>
      <c r="AH195" s="230">
        <v>30300</v>
      </c>
      <c r="AI195" s="232" t="s">
        <v>6</v>
      </c>
      <c r="AJ195" s="230" t="s">
        <v>104</v>
      </c>
      <c r="AK195" s="232" t="s">
        <v>105</v>
      </c>
      <c r="AL195" s="232" t="s">
        <v>105</v>
      </c>
      <c r="AM195" s="232" t="s">
        <v>105</v>
      </c>
      <c r="AN195" s="232" t="s">
        <v>106</v>
      </c>
      <c r="AO195" s="259" t="s">
        <v>1084</v>
      </c>
      <c r="AP195" s="234" t="s">
        <v>1085</v>
      </c>
      <c r="AQ195" s="228" t="s">
        <v>501</v>
      </c>
      <c r="AR195" s="228" t="s">
        <v>501</v>
      </c>
      <c r="AS195" s="228" t="s">
        <v>501</v>
      </c>
      <c r="AT195" s="228" t="s">
        <v>501</v>
      </c>
      <c r="AU195" s="213">
        <v>45425</v>
      </c>
      <c r="AV195" s="228" t="s">
        <v>501</v>
      </c>
      <c r="AW195" s="228" t="s">
        <v>501</v>
      </c>
      <c r="AX195" s="213">
        <v>45429</v>
      </c>
      <c r="AY195" s="236">
        <v>45429</v>
      </c>
      <c r="AZ195" s="236" t="s">
        <v>220</v>
      </c>
      <c r="BA195" s="235" t="s">
        <v>502</v>
      </c>
      <c r="BB195" s="217" t="s">
        <v>105</v>
      </c>
      <c r="BC195" s="218">
        <f t="shared" si="17"/>
        <v>213</v>
      </c>
      <c r="BD195" s="210" t="str">
        <f t="shared" si="20"/>
        <v>INDENIZAÇÃO</v>
      </c>
      <c r="BE195" s="210" t="str">
        <f t="shared" si="14"/>
        <v>NÃO</v>
      </c>
      <c r="BF195" s="210" t="s">
        <v>24</v>
      </c>
      <c r="BG195" s="210" t="s">
        <v>24</v>
      </c>
      <c r="BH195" s="210" t="s">
        <v>24</v>
      </c>
      <c r="BI195" s="210" t="s">
        <v>105</v>
      </c>
      <c r="BJ195" s="210" t="s">
        <v>105</v>
      </c>
      <c r="BK195" s="213">
        <v>45483</v>
      </c>
      <c r="BL195" s="210" t="s">
        <v>105</v>
      </c>
      <c r="BM195" s="241" t="s">
        <v>220</v>
      </c>
      <c r="BN195" s="232"/>
      <c r="BO195" s="232"/>
      <c r="BP195" s="232"/>
      <c r="BQ195" s="232"/>
      <c r="BR195" s="232"/>
      <c r="BS195" s="232"/>
      <c r="BT195" s="232"/>
      <c r="BU195" s="232"/>
      <c r="BV195" s="232"/>
      <c r="BW195" s="232"/>
      <c r="BX195" s="232"/>
      <c r="BY195" s="232"/>
    </row>
    <row r="196" spans="1:77" ht="35.25" customHeight="1" x14ac:dyDescent="0.25">
      <c r="A196" s="210">
        <v>183</v>
      </c>
      <c r="B196" s="210" t="s">
        <v>99</v>
      </c>
      <c r="C196" s="210">
        <v>2</v>
      </c>
      <c r="D196" s="210">
        <v>0</v>
      </c>
      <c r="E196" s="210">
        <v>0</v>
      </c>
      <c r="F196" s="219" t="s">
        <v>1086</v>
      </c>
      <c r="G196" s="220" t="s">
        <v>1</v>
      </c>
      <c r="H196" s="220" t="s">
        <v>2</v>
      </c>
      <c r="I196" s="210" t="s">
        <v>12</v>
      </c>
      <c r="J196" s="219" t="s">
        <v>1087</v>
      </c>
      <c r="K196" s="219" t="s">
        <v>1088</v>
      </c>
      <c r="L196" s="219" t="s">
        <v>1089</v>
      </c>
      <c r="M196" s="232" t="s">
        <v>4</v>
      </c>
      <c r="N196" s="232" t="s">
        <v>5</v>
      </c>
      <c r="O196" s="213">
        <v>45077</v>
      </c>
      <c r="P196" s="233" t="s">
        <v>24</v>
      </c>
      <c r="Q196" s="233" t="s">
        <v>24</v>
      </c>
      <c r="R196" s="233" t="s">
        <v>24</v>
      </c>
      <c r="S196" s="233" t="s">
        <v>24</v>
      </c>
      <c r="T196" s="233" t="s">
        <v>24</v>
      </c>
      <c r="U196" s="233" t="s">
        <v>24</v>
      </c>
      <c r="V196" s="233" t="s">
        <v>24</v>
      </c>
      <c r="W196" s="233" t="s">
        <v>24</v>
      </c>
      <c r="X196" s="233" t="s">
        <v>24</v>
      </c>
      <c r="Y196" s="233" t="s">
        <v>24</v>
      </c>
      <c r="Z196" s="233" t="s">
        <v>24</v>
      </c>
      <c r="AA196" s="237" t="s">
        <v>1090</v>
      </c>
      <c r="AB196" s="219" t="s">
        <v>1087</v>
      </c>
      <c r="AC196" s="219" t="s">
        <v>1088</v>
      </c>
      <c r="AD196" s="219" t="s">
        <v>1089</v>
      </c>
      <c r="AE196" s="220" t="s">
        <v>12</v>
      </c>
      <c r="AF196" s="232" t="s">
        <v>4</v>
      </c>
      <c r="AG196" s="230">
        <f t="shared" si="21"/>
        <v>600</v>
      </c>
      <c r="AH196" s="230">
        <v>30600</v>
      </c>
      <c r="AI196" s="232" t="s">
        <v>6</v>
      </c>
      <c r="AJ196" s="230" t="s">
        <v>104</v>
      </c>
      <c r="AK196" s="232" t="s">
        <v>105</v>
      </c>
      <c r="AL196" s="232" t="s">
        <v>105</v>
      </c>
      <c r="AM196" s="232" t="s">
        <v>105</v>
      </c>
      <c r="AN196" s="232" t="s">
        <v>106</v>
      </c>
      <c r="AO196" s="232"/>
      <c r="AP196" s="234" t="s">
        <v>1091</v>
      </c>
      <c r="AQ196" s="232" t="s">
        <v>105</v>
      </c>
      <c r="AR196" s="232" t="s">
        <v>105</v>
      </c>
      <c r="AS196" s="210" t="s">
        <v>105</v>
      </c>
      <c r="AT196" s="210" t="s">
        <v>105</v>
      </c>
      <c r="AU196" s="213">
        <v>45114</v>
      </c>
      <c r="AV196" s="210" t="s">
        <v>105</v>
      </c>
      <c r="AW196" s="210" t="s">
        <v>105</v>
      </c>
      <c r="AX196" s="213">
        <v>45119</v>
      </c>
      <c r="AY196" s="213">
        <v>45139</v>
      </c>
      <c r="AZ196" s="233">
        <v>45041</v>
      </c>
      <c r="BA196" s="232" t="s">
        <v>30</v>
      </c>
      <c r="BB196" s="217" t="s">
        <v>105</v>
      </c>
      <c r="BC196" s="218">
        <f t="shared" si="17"/>
        <v>62</v>
      </c>
      <c r="BD196" s="210" t="str">
        <f t="shared" si="20"/>
        <v>INDENIZAÇÃO</v>
      </c>
      <c r="BE196" s="210" t="str">
        <f t="shared" si="14"/>
        <v>NÃO</v>
      </c>
      <c r="BF196" s="210" t="s">
        <v>24</v>
      </c>
      <c r="BG196" s="210" t="s">
        <v>24</v>
      </c>
      <c r="BH196" s="210" t="s">
        <v>24</v>
      </c>
      <c r="BI196" s="254" t="s">
        <v>105</v>
      </c>
      <c r="BJ196" s="210" t="s">
        <v>105</v>
      </c>
      <c r="BK196" s="253">
        <v>45190</v>
      </c>
      <c r="BL196" s="254" t="s">
        <v>105</v>
      </c>
      <c r="BM196" s="266" t="s">
        <v>105</v>
      </c>
      <c r="BN196" s="232"/>
      <c r="BO196" s="232"/>
      <c r="BP196" s="232"/>
      <c r="BQ196" s="232"/>
      <c r="BR196" s="232"/>
      <c r="BS196" s="232"/>
      <c r="BT196" s="232"/>
      <c r="BU196" s="232"/>
      <c r="BV196" s="232"/>
      <c r="BW196" s="232"/>
      <c r="BX196" s="232"/>
      <c r="BY196" s="232"/>
    </row>
    <row r="197" spans="1:77" ht="35.25" customHeight="1" x14ac:dyDescent="0.25">
      <c r="A197" s="210">
        <v>184</v>
      </c>
      <c r="B197" s="210" t="s">
        <v>99</v>
      </c>
      <c r="C197" s="210">
        <v>2</v>
      </c>
      <c r="D197" s="210">
        <v>0</v>
      </c>
      <c r="E197" s="210">
        <v>0</v>
      </c>
      <c r="F197" s="219" t="s">
        <v>1092</v>
      </c>
      <c r="G197" s="220" t="s">
        <v>1</v>
      </c>
      <c r="H197" s="220" t="s">
        <v>2</v>
      </c>
      <c r="I197" s="210" t="s">
        <v>12</v>
      </c>
      <c r="J197" s="219" t="s">
        <v>1093</v>
      </c>
      <c r="K197" s="219" t="s">
        <v>1094</v>
      </c>
      <c r="L197" s="219" t="s">
        <v>1095</v>
      </c>
      <c r="M197" s="232" t="s">
        <v>4</v>
      </c>
      <c r="N197" s="246" t="s">
        <v>962</v>
      </c>
      <c r="O197" s="213">
        <v>45077</v>
      </c>
      <c r="P197" s="233" t="s">
        <v>24</v>
      </c>
      <c r="Q197" s="233" t="s">
        <v>24</v>
      </c>
      <c r="R197" s="233" t="s">
        <v>24</v>
      </c>
      <c r="S197" s="233" t="s">
        <v>24</v>
      </c>
      <c r="T197" s="233" t="s">
        <v>24</v>
      </c>
      <c r="U197" s="233" t="s">
        <v>24</v>
      </c>
      <c r="V197" s="233" t="s">
        <v>24</v>
      </c>
      <c r="W197" s="233" t="s">
        <v>24</v>
      </c>
      <c r="X197" s="233" t="s">
        <v>24</v>
      </c>
      <c r="Y197" s="233" t="s">
        <v>24</v>
      </c>
      <c r="Z197" s="233" t="s">
        <v>24</v>
      </c>
      <c r="AA197" s="232" t="s">
        <v>963</v>
      </c>
      <c r="AB197" s="219" t="s">
        <v>1093</v>
      </c>
      <c r="AC197" s="219" t="s">
        <v>1094</v>
      </c>
      <c r="AD197" s="219" t="s">
        <v>1095</v>
      </c>
      <c r="AE197" s="220" t="s">
        <v>12</v>
      </c>
      <c r="AF197" s="232" t="s">
        <v>4</v>
      </c>
      <c r="AG197" s="230">
        <f t="shared" si="21"/>
        <v>3000</v>
      </c>
      <c r="AH197" s="230">
        <v>33000</v>
      </c>
      <c r="AI197" s="232" t="s">
        <v>6</v>
      </c>
      <c r="AJ197" s="230" t="s">
        <v>104</v>
      </c>
      <c r="AK197" s="232" t="s">
        <v>105</v>
      </c>
      <c r="AL197" s="232" t="s">
        <v>105</v>
      </c>
      <c r="AM197" s="232" t="s">
        <v>105</v>
      </c>
      <c r="AN197" s="232" t="s">
        <v>106</v>
      </c>
      <c r="AO197" s="232"/>
      <c r="AP197" s="234" t="s">
        <v>1096</v>
      </c>
      <c r="AQ197" s="232" t="s">
        <v>105</v>
      </c>
      <c r="AR197" s="232" t="s">
        <v>105</v>
      </c>
      <c r="AS197" s="210" t="s">
        <v>105</v>
      </c>
      <c r="AT197" s="210" t="s">
        <v>105</v>
      </c>
      <c r="AU197" s="213">
        <v>45224</v>
      </c>
      <c r="AV197" s="210" t="s">
        <v>105</v>
      </c>
      <c r="AW197" s="210" t="s">
        <v>105</v>
      </c>
      <c r="AX197" s="213">
        <v>45280</v>
      </c>
      <c r="AY197" s="213">
        <v>45280</v>
      </c>
      <c r="AZ197" s="233">
        <v>45041</v>
      </c>
      <c r="BA197" s="232" t="s">
        <v>30</v>
      </c>
      <c r="BB197" s="217" t="s">
        <v>105</v>
      </c>
      <c r="BC197" s="218">
        <f t="shared" si="17"/>
        <v>203</v>
      </c>
      <c r="BD197" s="210" t="str">
        <f t="shared" si="20"/>
        <v>INDENIZAÇÃO</v>
      </c>
      <c r="BE197" s="210" t="str">
        <f t="shared" si="14"/>
        <v>SIM</v>
      </c>
      <c r="BF197" s="210" t="s">
        <v>105</v>
      </c>
      <c r="BG197" s="233">
        <v>45397</v>
      </c>
      <c r="BH197" s="233">
        <v>45397</v>
      </c>
      <c r="BI197" s="210" t="s">
        <v>105</v>
      </c>
      <c r="BJ197" s="210" t="s">
        <v>105</v>
      </c>
      <c r="BK197" s="213">
        <v>45483</v>
      </c>
      <c r="BL197" s="210" t="s">
        <v>105</v>
      </c>
      <c r="BM197" s="266" t="s">
        <v>105</v>
      </c>
      <c r="BN197" s="232"/>
      <c r="BO197" s="232"/>
      <c r="BP197" s="232"/>
      <c r="BQ197" s="232"/>
      <c r="BR197" s="232"/>
      <c r="BS197" s="232"/>
      <c r="BT197" s="232"/>
      <c r="BU197" s="232"/>
      <c r="BV197" s="232"/>
      <c r="BW197" s="232"/>
      <c r="BX197" s="232"/>
      <c r="BY197" s="232"/>
    </row>
    <row r="198" spans="1:77" ht="35.25" customHeight="1" x14ac:dyDescent="0.25">
      <c r="A198" s="210">
        <v>185</v>
      </c>
      <c r="B198" s="210" t="s">
        <v>99</v>
      </c>
      <c r="C198" s="210">
        <v>2</v>
      </c>
      <c r="D198" s="210">
        <v>0</v>
      </c>
      <c r="E198" s="210">
        <v>0</v>
      </c>
      <c r="F198" s="219" t="s">
        <v>1097</v>
      </c>
      <c r="G198" s="220" t="s">
        <v>1</v>
      </c>
      <c r="H198" s="220" t="s">
        <v>2</v>
      </c>
      <c r="I198" s="210" t="s">
        <v>12</v>
      </c>
      <c r="J198" s="219" t="s">
        <v>1098</v>
      </c>
      <c r="K198" s="219" t="s">
        <v>1099</v>
      </c>
      <c r="L198" s="219" t="s">
        <v>1100</v>
      </c>
      <c r="M198" s="232" t="s">
        <v>4</v>
      </c>
      <c r="N198" s="232" t="s">
        <v>5</v>
      </c>
      <c r="O198" s="213">
        <v>45216</v>
      </c>
      <c r="P198" s="233" t="s">
        <v>24</v>
      </c>
      <c r="Q198" s="233" t="s">
        <v>24</v>
      </c>
      <c r="R198" s="233" t="s">
        <v>24</v>
      </c>
      <c r="S198" s="233" t="s">
        <v>24</v>
      </c>
      <c r="T198" s="213" t="s">
        <v>105</v>
      </c>
      <c r="U198" s="233" t="s">
        <v>24</v>
      </c>
      <c r="V198" s="233" t="s">
        <v>24</v>
      </c>
      <c r="W198" s="233" t="s">
        <v>24</v>
      </c>
      <c r="X198" s="233" t="s">
        <v>24</v>
      </c>
      <c r="Y198" s="233" t="s">
        <v>24</v>
      </c>
      <c r="Z198" s="233" t="s">
        <v>24</v>
      </c>
      <c r="AA198" s="232"/>
      <c r="AB198" s="219" t="s">
        <v>1098</v>
      </c>
      <c r="AC198" s="219" t="s">
        <v>1099</v>
      </c>
      <c r="AD198" s="219" t="s">
        <v>1100</v>
      </c>
      <c r="AE198" s="220" t="s">
        <v>12</v>
      </c>
      <c r="AF198" s="232" t="s">
        <v>4</v>
      </c>
      <c r="AG198" s="230">
        <f t="shared" si="21"/>
        <v>23200</v>
      </c>
      <c r="AH198" s="230">
        <v>53200</v>
      </c>
      <c r="AI198" s="232" t="s">
        <v>6</v>
      </c>
      <c r="AJ198" s="230" t="s">
        <v>104</v>
      </c>
      <c r="AK198" s="232" t="s">
        <v>105</v>
      </c>
      <c r="AL198" s="232" t="s">
        <v>105</v>
      </c>
      <c r="AM198" s="232" t="s">
        <v>105</v>
      </c>
      <c r="AN198" s="232" t="s">
        <v>106</v>
      </c>
      <c r="AO198" s="250"/>
      <c r="AP198" s="234" t="s">
        <v>1101</v>
      </c>
      <c r="AQ198" s="232" t="s">
        <v>105</v>
      </c>
      <c r="AR198" s="232" t="s">
        <v>105</v>
      </c>
      <c r="AS198" s="210" t="s">
        <v>105</v>
      </c>
      <c r="AT198" s="210" t="s">
        <v>105</v>
      </c>
      <c r="AU198" s="213">
        <v>45351</v>
      </c>
      <c r="AV198" s="210" t="s">
        <v>105</v>
      </c>
      <c r="AW198" s="210" t="s">
        <v>105</v>
      </c>
      <c r="AX198" s="213">
        <v>45359</v>
      </c>
      <c r="AY198" s="221">
        <v>45359</v>
      </c>
      <c r="AZ198" s="236" t="s">
        <v>220</v>
      </c>
      <c r="BA198" s="235" t="s">
        <v>502</v>
      </c>
      <c r="BB198" s="217" t="s">
        <v>105</v>
      </c>
      <c r="BC198" s="218">
        <f t="shared" si="17"/>
        <v>143</v>
      </c>
      <c r="BD198" s="210" t="str">
        <f t="shared" si="20"/>
        <v>INDENIZAÇÃO</v>
      </c>
      <c r="BE198" s="210" t="str">
        <f t="shared" si="14"/>
        <v>NÃO</v>
      </c>
      <c r="BF198" s="210" t="s">
        <v>24</v>
      </c>
      <c r="BG198" s="210" t="s">
        <v>24</v>
      </c>
      <c r="BH198" s="210" t="s">
        <v>24</v>
      </c>
      <c r="BI198" s="210" t="s">
        <v>105</v>
      </c>
      <c r="BJ198" s="210" t="s">
        <v>105</v>
      </c>
      <c r="BK198" s="213">
        <v>45510</v>
      </c>
      <c r="BL198" s="210" t="s">
        <v>105</v>
      </c>
      <c r="BM198" s="241" t="s">
        <v>220</v>
      </c>
      <c r="BN198" s="232"/>
      <c r="BO198" s="232"/>
      <c r="BP198" s="232"/>
      <c r="BQ198" s="232"/>
      <c r="BR198" s="232"/>
      <c r="BS198" s="232"/>
      <c r="BT198" s="232"/>
      <c r="BU198" s="232"/>
      <c r="BV198" s="232"/>
      <c r="BW198" s="232"/>
      <c r="BX198" s="232"/>
      <c r="BY198" s="232"/>
    </row>
    <row r="199" spans="1:77" ht="35.25" customHeight="1" x14ac:dyDescent="0.25">
      <c r="A199" s="210">
        <v>186</v>
      </c>
      <c r="B199" s="210" t="s">
        <v>99</v>
      </c>
      <c r="C199" s="210">
        <v>2</v>
      </c>
      <c r="D199" s="210">
        <v>0</v>
      </c>
      <c r="E199" s="210">
        <v>0</v>
      </c>
      <c r="F199" s="219" t="s">
        <v>1102</v>
      </c>
      <c r="G199" s="220" t="s">
        <v>1</v>
      </c>
      <c r="H199" s="220" t="s">
        <v>2</v>
      </c>
      <c r="I199" s="210" t="s">
        <v>12</v>
      </c>
      <c r="J199" s="219" t="s">
        <v>1103</v>
      </c>
      <c r="K199" s="219" t="s">
        <v>1104</v>
      </c>
      <c r="L199" s="219" t="s">
        <v>1105</v>
      </c>
      <c r="M199" s="232" t="s">
        <v>4</v>
      </c>
      <c r="N199" s="232" t="s">
        <v>5</v>
      </c>
      <c r="O199" s="213">
        <v>45216</v>
      </c>
      <c r="P199" s="233" t="s">
        <v>24</v>
      </c>
      <c r="Q199" s="233" t="s">
        <v>24</v>
      </c>
      <c r="R199" s="233" t="s">
        <v>24</v>
      </c>
      <c r="S199" s="233" t="s">
        <v>24</v>
      </c>
      <c r="T199" s="233" t="s">
        <v>24</v>
      </c>
      <c r="U199" s="233" t="s">
        <v>24</v>
      </c>
      <c r="V199" s="233" t="s">
        <v>24</v>
      </c>
      <c r="W199" s="233" t="s">
        <v>24</v>
      </c>
      <c r="X199" s="233" t="s">
        <v>24</v>
      </c>
      <c r="Y199" s="233" t="s">
        <v>24</v>
      </c>
      <c r="Z199" s="233" t="s">
        <v>24</v>
      </c>
      <c r="AA199" s="232"/>
      <c r="AB199" s="219" t="s">
        <v>1103</v>
      </c>
      <c r="AC199" s="219" t="s">
        <v>1104</v>
      </c>
      <c r="AD199" s="219" t="s">
        <v>1105</v>
      </c>
      <c r="AE199" s="220" t="s">
        <v>12</v>
      </c>
      <c r="AF199" s="232" t="s">
        <v>4</v>
      </c>
      <c r="AG199" s="230">
        <f t="shared" si="21"/>
        <v>24700</v>
      </c>
      <c r="AH199" s="230">
        <v>54700</v>
      </c>
      <c r="AI199" s="232" t="s">
        <v>6</v>
      </c>
      <c r="AJ199" s="230" t="s">
        <v>104</v>
      </c>
      <c r="AK199" s="232" t="s">
        <v>105</v>
      </c>
      <c r="AL199" s="232" t="s">
        <v>105</v>
      </c>
      <c r="AM199" s="232" t="s">
        <v>105</v>
      </c>
      <c r="AN199" s="232" t="s">
        <v>106</v>
      </c>
      <c r="AO199" s="259" t="s">
        <v>1106</v>
      </c>
      <c r="AP199" s="234" t="s">
        <v>1107</v>
      </c>
      <c r="AQ199" s="228" t="s">
        <v>501</v>
      </c>
      <c r="AR199" s="228" t="s">
        <v>501</v>
      </c>
      <c r="AS199" s="228" t="s">
        <v>501</v>
      </c>
      <c r="AT199" s="228" t="s">
        <v>501</v>
      </c>
      <c r="AU199" s="213">
        <v>45425</v>
      </c>
      <c r="AV199" s="228" t="s">
        <v>501</v>
      </c>
      <c r="AW199" s="228" t="s">
        <v>501</v>
      </c>
      <c r="AX199" s="213">
        <v>45429</v>
      </c>
      <c r="AY199" s="236">
        <v>45429</v>
      </c>
      <c r="AZ199" s="236" t="s">
        <v>220</v>
      </c>
      <c r="BA199" s="235" t="s">
        <v>502</v>
      </c>
      <c r="BB199" s="217" t="s">
        <v>105</v>
      </c>
      <c r="BC199" s="218">
        <f t="shared" si="17"/>
        <v>213</v>
      </c>
      <c r="BD199" s="210" t="str">
        <f t="shared" si="20"/>
        <v>INDENIZAÇÃO</v>
      </c>
      <c r="BE199" s="210" t="str">
        <f t="shared" si="14"/>
        <v>NÃO</v>
      </c>
      <c r="BF199" s="210" t="s">
        <v>24</v>
      </c>
      <c r="BG199" s="210" t="s">
        <v>24</v>
      </c>
      <c r="BH199" s="210" t="s">
        <v>24</v>
      </c>
      <c r="BI199" s="210" t="s">
        <v>105</v>
      </c>
      <c r="BJ199" s="210" t="s">
        <v>105</v>
      </c>
      <c r="BK199" s="213">
        <v>45483</v>
      </c>
      <c r="BL199" s="210" t="s">
        <v>105</v>
      </c>
      <c r="BM199" s="241" t="s">
        <v>220</v>
      </c>
      <c r="BN199" s="232"/>
      <c r="BO199" s="232"/>
      <c r="BP199" s="232"/>
      <c r="BQ199" s="232"/>
      <c r="BR199" s="232"/>
      <c r="BS199" s="232"/>
      <c r="BT199" s="232"/>
      <c r="BU199" s="232"/>
      <c r="BV199" s="232"/>
      <c r="BW199" s="232"/>
      <c r="BX199" s="232"/>
      <c r="BY199" s="232"/>
    </row>
    <row r="200" spans="1:77" ht="35.25" hidden="1" customHeight="1" x14ac:dyDescent="0.25">
      <c r="A200" s="210">
        <v>187</v>
      </c>
      <c r="B200" s="210" t="s">
        <v>99</v>
      </c>
      <c r="C200" s="210">
        <v>2</v>
      </c>
      <c r="D200" s="210">
        <v>0</v>
      </c>
      <c r="E200" s="210">
        <v>0</v>
      </c>
      <c r="F200" s="219" t="s">
        <v>1108</v>
      </c>
      <c r="G200" s="220" t="s">
        <v>1</v>
      </c>
      <c r="H200" s="220" t="s">
        <v>20</v>
      </c>
      <c r="I200" s="210" t="s">
        <v>121</v>
      </c>
      <c r="J200" s="219" t="s">
        <v>1109</v>
      </c>
      <c r="K200" s="219" t="s">
        <v>1110</v>
      </c>
      <c r="L200" s="219" t="s">
        <v>1111</v>
      </c>
      <c r="M200" s="232" t="s">
        <v>4</v>
      </c>
      <c r="N200" s="232" t="s">
        <v>14</v>
      </c>
      <c r="O200" s="213">
        <v>45019</v>
      </c>
      <c r="P200" s="233">
        <v>45189</v>
      </c>
      <c r="Q200" s="213" t="s">
        <v>114</v>
      </c>
      <c r="R200" s="233" t="s">
        <v>105</v>
      </c>
      <c r="S200" s="233" t="s">
        <v>105</v>
      </c>
      <c r="T200" s="213" t="s">
        <v>105</v>
      </c>
      <c r="U200" s="233">
        <v>45236</v>
      </c>
      <c r="V200" s="233" t="s">
        <v>105</v>
      </c>
      <c r="W200" s="233">
        <v>45237</v>
      </c>
      <c r="X200" s="251">
        <v>45253</v>
      </c>
      <c r="Y200" s="236" t="s">
        <v>220</v>
      </c>
      <c r="Z200" s="236"/>
      <c r="AA200" s="232" t="s">
        <v>1112</v>
      </c>
      <c r="AB200" s="219" t="s">
        <v>1113</v>
      </c>
      <c r="AC200" s="219" t="s">
        <v>1114</v>
      </c>
      <c r="AD200" s="219" t="s">
        <v>1115</v>
      </c>
      <c r="AE200" s="210" t="s">
        <v>547</v>
      </c>
      <c r="AF200" s="232" t="s">
        <v>24</v>
      </c>
      <c r="AG200" s="230">
        <v>0</v>
      </c>
      <c r="AH200" s="230">
        <v>0</v>
      </c>
      <c r="AI200" s="232" t="s">
        <v>1112</v>
      </c>
      <c r="AJ200" s="230" t="s">
        <v>104</v>
      </c>
      <c r="AK200" s="210" t="s">
        <v>105</v>
      </c>
      <c r="AL200" s="232" t="s">
        <v>24</v>
      </c>
      <c r="AM200" s="232" t="s">
        <v>24</v>
      </c>
      <c r="AN200" s="232" t="s">
        <v>24</v>
      </c>
      <c r="AO200" s="232" t="s">
        <v>1112</v>
      </c>
      <c r="AP200" s="234" t="s">
        <v>24</v>
      </c>
      <c r="AQ200" s="232" t="s">
        <v>24</v>
      </c>
      <c r="AR200" s="232" t="s">
        <v>24</v>
      </c>
      <c r="AS200" s="232" t="s">
        <v>24</v>
      </c>
      <c r="AT200" s="232" t="s">
        <v>24</v>
      </c>
      <c r="AU200" s="232" t="s">
        <v>24</v>
      </c>
      <c r="AV200" s="232" t="s">
        <v>24</v>
      </c>
      <c r="AW200" s="232" t="s">
        <v>24</v>
      </c>
      <c r="AX200" s="232" t="s">
        <v>24</v>
      </c>
      <c r="AY200" s="232" t="s">
        <v>24</v>
      </c>
      <c r="AZ200" s="235" t="s">
        <v>220</v>
      </c>
      <c r="BA200" s="235" t="s">
        <v>502</v>
      </c>
      <c r="BB200" s="232" t="s">
        <v>105</v>
      </c>
      <c r="BC200" s="218" t="s">
        <v>24</v>
      </c>
      <c r="BD200" s="210" t="str">
        <f t="shared" si="20"/>
        <v>INDENIZAÇÃO</v>
      </c>
      <c r="BE200" s="210" t="str">
        <f t="shared" si="14"/>
        <v>NÃO</v>
      </c>
      <c r="BF200" s="232" t="s">
        <v>24</v>
      </c>
      <c r="BG200" s="232" t="s">
        <v>24</v>
      </c>
      <c r="BH200" s="232" t="s">
        <v>24</v>
      </c>
      <c r="BI200" s="232" t="s">
        <v>24</v>
      </c>
      <c r="BJ200" s="232" t="s">
        <v>24</v>
      </c>
      <c r="BK200" s="232" t="s">
        <v>24</v>
      </c>
      <c r="BL200" s="232" t="s">
        <v>24</v>
      </c>
      <c r="BM200" s="232"/>
      <c r="BN200" s="232"/>
      <c r="BO200" s="232"/>
      <c r="BP200" s="232"/>
      <c r="BQ200" s="232"/>
      <c r="BR200" s="232"/>
      <c r="BS200" s="232"/>
      <c r="BT200" s="232"/>
      <c r="BU200" s="232"/>
      <c r="BV200" s="232"/>
      <c r="BW200" s="232"/>
      <c r="BX200" s="232"/>
      <c r="BY200" s="232"/>
    </row>
    <row r="201" spans="1:77" ht="35.25" hidden="1" customHeight="1" x14ac:dyDescent="0.25">
      <c r="A201" s="210">
        <v>188</v>
      </c>
      <c r="B201" s="210" t="s">
        <v>99</v>
      </c>
      <c r="C201" s="210">
        <v>2</v>
      </c>
      <c r="D201" s="210">
        <v>0</v>
      </c>
      <c r="E201" s="210">
        <v>0</v>
      </c>
      <c r="F201" s="219" t="s">
        <v>1116</v>
      </c>
      <c r="G201" s="210" t="s">
        <v>1</v>
      </c>
      <c r="H201" s="210" t="s">
        <v>2</v>
      </c>
      <c r="I201" s="210" t="s">
        <v>12</v>
      </c>
      <c r="J201" s="219" t="s">
        <v>1117</v>
      </c>
      <c r="K201" s="219" t="s">
        <v>1118</v>
      </c>
      <c r="L201" s="219" t="s">
        <v>1119</v>
      </c>
      <c r="M201" s="232"/>
      <c r="N201" s="232"/>
      <c r="O201" s="213">
        <v>45019</v>
      </c>
      <c r="P201" s="233"/>
      <c r="Q201" s="233"/>
      <c r="R201" s="233"/>
      <c r="S201" s="233"/>
      <c r="T201" s="213" t="s">
        <v>105</v>
      </c>
      <c r="U201" s="233"/>
      <c r="V201" s="233"/>
      <c r="W201" s="233"/>
      <c r="X201" s="233"/>
      <c r="Y201" s="233"/>
      <c r="Z201" s="233"/>
      <c r="AA201" s="232"/>
      <c r="AB201" s="219" t="s">
        <v>1117</v>
      </c>
      <c r="AC201" s="219" t="s">
        <v>1118</v>
      </c>
      <c r="AD201" s="219" t="s">
        <v>1119</v>
      </c>
      <c r="AE201" s="220" t="s">
        <v>12</v>
      </c>
      <c r="AF201" s="232"/>
      <c r="AG201" s="230" t="s">
        <v>139</v>
      </c>
      <c r="AH201" s="230" t="s">
        <v>139</v>
      </c>
      <c r="AI201" s="232"/>
      <c r="AJ201" s="230" t="s">
        <v>104</v>
      </c>
      <c r="AK201" s="232"/>
      <c r="AL201" s="232"/>
      <c r="AM201" s="232"/>
      <c r="AN201" s="232"/>
      <c r="AO201" s="232"/>
      <c r="AP201" s="234"/>
      <c r="AQ201" s="232"/>
      <c r="AR201" s="232"/>
      <c r="AS201" s="232"/>
      <c r="AT201" s="232"/>
      <c r="AU201" s="232"/>
      <c r="AV201" s="232"/>
      <c r="AW201" s="232"/>
      <c r="AX201" s="233"/>
      <c r="AY201" s="232"/>
      <c r="AZ201" s="233"/>
      <c r="BA201" s="232"/>
      <c r="BB201" s="232"/>
      <c r="BC201" s="218" t="str">
        <f t="shared" ref="BC201:BC218" si="22">IF(AY201-ON201=0,"",AY201-O201)</f>
        <v/>
      </c>
      <c r="BD201" s="210" t="str">
        <f t="shared" si="20"/>
        <v>INDENIZAÇÃO</v>
      </c>
      <c r="BE201" s="210" t="str">
        <f t="shared" si="14"/>
        <v>NÃO</v>
      </c>
      <c r="BF201" s="210"/>
      <c r="BG201" s="210"/>
      <c r="BH201" s="210"/>
      <c r="BI201" s="210"/>
      <c r="BJ201" s="210"/>
      <c r="BK201" s="210"/>
      <c r="BL201" s="210"/>
      <c r="BM201" s="210"/>
      <c r="BN201" s="232"/>
      <c r="BO201" s="232"/>
      <c r="BP201" s="232"/>
      <c r="BQ201" s="232"/>
      <c r="BR201" s="232"/>
      <c r="BS201" s="232"/>
      <c r="BT201" s="232"/>
      <c r="BU201" s="232"/>
      <c r="BV201" s="232"/>
      <c r="BW201" s="232"/>
      <c r="BX201" s="232"/>
      <c r="BY201" s="232"/>
    </row>
    <row r="202" spans="1:77" ht="35.25" hidden="1" customHeight="1" x14ac:dyDescent="0.25">
      <c r="A202" s="210">
        <v>189</v>
      </c>
      <c r="B202" s="210" t="s">
        <v>99</v>
      </c>
      <c r="C202" s="210">
        <v>2</v>
      </c>
      <c r="D202" s="210">
        <v>0</v>
      </c>
      <c r="E202" s="210">
        <v>0</v>
      </c>
      <c r="F202" s="219" t="s">
        <v>1120</v>
      </c>
      <c r="G202" s="210" t="s">
        <v>1</v>
      </c>
      <c r="H202" s="210" t="s">
        <v>2</v>
      </c>
      <c r="I202" s="210" t="s">
        <v>12</v>
      </c>
      <c r="J202" s="219" t="s">
        <v>1121</v>
      </c>
      <c r="K202" s="219" t="s">
        <v>1122</v>
      </c>
      <c r="L202" s="219" t="s">
        <v>1123</v>
      </c>
      <c r="M202" s="232"/>
      <c r="N202" s="232"/>
      <c r="O202" s="213">
        <v>45019</v>
      </c>
      <c r="P202" s="233"/>
      <c r="Q202" s="233"/>
      <c r="R202" s="233"/>
      <c r="S202" s="233"/>
      <c r="T202" s="213" t="s">
        <v>105</v>
      </c>
      <c r="U202" s="233"/>
      <c r="V202" s="233"/>
      <c r="W202" s="233"/>
      <c r="X202" s="233"/>
      <c r="Y202" s="233"/>
      <c r="Z202" s="233"/>
      <c r="AA202" s="232"/>
      <c r="AB202" s="219" t="s">
        <v>1121</v>
      </c>
      <c r="AC202" s="219" t="s">
        <v>1122</v>
      </c>
      <c r="AD202" s="219" t="s">
        <v>1123</v>
      </c>
      <c r="AE202" s="220" t="s">
        <v>12</v>
      </c>
      <c r="AF202" s="232"/>
      <c r="AG202" s="230" t="s">
        <v>139</v>
      </c>
      <c r="AH202" s="230" t="s">
        <v>139</v>
      </c>
      <c r="AI202" s="232"/>
      <c r="AJ202" s="230" t="s">
        <v>104</v>
      </c>
      <c r="AK202" s="232"/>
      <c r="AL202" s="232"/>
      <c r="AM202" s="232"/>
      <c r="AN202" s="232"/>
      <c r="AO202" s="232"/>
      <c r="AP202" s="234"/>
      <c r="AQ202" s="232"/>
      <c r="AR202" s="232"/>
      <c r="AS202" s="232"/>
      <c r="AT202" s="232"/>
      <c r="AU202" s="232"/>
      <c r="AV202" s="232"/>
      <c r="AW202" s="232"/>
      <c r="AX202" s="233"/>
      <c r="AY202" s="232"/>
      <c r="AZ202" s="233"/>
      <c r="BA202" s="232"/>
      <c r="BB202" s="232"/>
      <c r="BC202" s="218" t="str">
        <f t="shared" si="22"/>
        <v/>
      </c>
      <c r="BD202" s="210" t="str">
        <f t="shared" si="20"/>
        <v>INDENIZAÇÃO</v>
      </c>
      <c r="BE202" s="210" t="str">
        <f t="shared" si="14"/>
        <v>NÃO</v>
      </c>
      <c r="BF202" s="210"/>
      <c r="BG202" s="210"/>
      <c r="BH202" s="210"/>
      <c r="BI202" s="210"/>
      <c r="BJ202" s="210"/>
      <c r="BK202" s="210"/>
      <c r="BL202" s="210"/>
      <c r="BM202" s="210"/>
      <c r="BN202" s="232"/>
      <c r="BO202" s="232"/>
      <c r="BP202" s="232"/>
      <c r="BQ202" s="232"/>
      <c r="BR202" s="232"/>
      <c r="BS202" s="232"/>
      <c r="BT202" s="232"/>
      <c r="BU202" s="232"/>
      <c r="BV202" s="232"/>
      <c r="BW202" s="232"/>
      <c r="BX202" s="232"/>
      <c r="BY202" s="232"/>
    </row>
    <row r="203" spans="1:77" ht="35.25" hidden="1" customHeight="1" x14ac:dyDescent="0.25">
      <c r="A203" s="210">
        <v>190</v>
      </c>
      <c r="B203" s="210" t="s">
        <v>99</v>
      </c>
      <c r="C203" s="210">
        <v>2</v>
      </c>
      <c r="D203" s="210">
        <v>0</v>
      </c>
      <c r="E203" s="210">
        <v>0</v>
      </c>
      <c r="F203" s="219" t="s">
        <v>1124</v>
      </c>
      <c r="G203" s="220" t="s">
        <v>138</v>
      </c>
      <c r="H203" s="220" t="s">
        <v>2</v>
      </c>
      <c r="I203" s="220" t="s">
        <v>3</v>
      </c>
      <c r="J203" s="219" t="s">
        <v>1125</v>
      </c>
      <c r="K203" s="219" t="s">
        <v>1126</v>
      </c>
      <c r="L203" s="219" t="s">
        <v>1127</v>
      </c>
      <c r="M203" s="232"/>
      <c r="N203" s="232"/>
      <c r="O203" s="213">
        <v>45019</v>
      </c>
      <c r="P203" s="233"/>
      <c r="Q203" s="233"/>
      <c r="R203" s="233"/>
      <c r="S203" s="233"/>
      <c r="T203" s="213" t="s">
        <v>105</v>
      </c>
      <c r="U203" s="233"/>
      <c r="V203" s="233"/>
      <c r="W203" s="233"/>
      <c r="X203" s="233"/>
      <c r="Y203" s="233"/>
      <c r="Z203" s="233"/>
      <c r="AA203" s="232"/>
      <c r="AB203" s="219" t="s">
        <v>1125</v>
      </c>
      <c r="AC203" s="219" t="s">
        <v>1126</v>
      </c>
      <c r="AD203" s="219" t="s">
        <v>1127</v>
      </c>
      <c r="AE203" s="210" t="s">
        <v>547</v>
      </c>
      <c r="AF203" s="232"/>
      <c r="AG203" s="230" t="s">
        <v>139</v>
      </c>
      <c r="AH203" s="230" t="s">
        <v>139</v>
      </c>
      <c r="AI203" s="232"/>
      <c r="AJ203" s="230" t="s">
        <v>104</v>
      </c>
      <c r="AK203" s="232"/>
      <c r="AL203" s="232"/>
      <c r="AM203" s="232"/>
      <c r="AN203" s="232"/>
      <c r="AO203" s="232"/>
      <c r="AP203" s="234"/>
      <c r="AQ203" s="232"/>
      <c r="AR203" s="232"/>
      <c r="AS203" s="232"/>
      <c r="AT203" s="232"/>
      <c r="AU203" s="232"/>
      <c r="AV203" s="232"/>
      <c r="AW203" s="232"/>
      <c r="AX203" s="233"/>
      <c r="AY203" s="232"/>
      <c r="AZ203" s="233"/>
      <c r="BA203" s="232"/>
      <c r="BB203" s="232"/>
      <c r="BC203" s="218" t="str">
        <f t="shared" si="22"/>
        <v/>
      </c>
      <c r="BD203" s="210" t="str">
        <f t="shared" si="20"/>
        <v>INDENIZAÇÃO</v>
      </c>
      <c r="BE203" s="210" t="str">
        <f t="shared" si="14"/>
        <v>NÃO</v>
      </c>
      <c r="BF203" s="210"/>
      <c r="BG203" s="210"/>
      <c r="BH203" s="210"/>
      <c r="BI203" s="210"/>
      <c r="BJ203" s="210"/>
      <c r="BK203" s="210"/>
      <c r="BL203" s="210"/>
      <c r="BM203" s="210"/>
      <c r="BN203" s="232"/>
      <c r="BO203" s="232"/>
      <c r="BP203" s="232"/>
      <c r="BQ203" s="232"/>
      <c r="BR203" s="232"/>
      <c r="BS203" s="232"/>
      <c r="BT203" s="232"/>
      <c r="BU203" s="232"/>
      <c r="BV203" s="232"/>
      <c r="BW203" s="232"/>
      <c r="BX203" s="232"/>
      <c r="BY203" s="232"/>
    </row>
    <row r="204" spans="1:77" ht="35.25" customHeight="1" x14ac:dyDescent="0.25">
      <c r="A204" s="210">
        <v>191</v>
      </c>
      <c r="B204" s="210" t="s">
        <v>99</v>
      </c>
      <c r="C204" s="210">
        <v>2</v>
      </c>
      <c r="D204" s="210">
        <v>0</v>
      </c>
      <c r="E204" s="210">
        <v>0</v>
      </c>
      <c r="F204" s="219" t="s">
        <v>1128</v>
      </c>
      <c r="G204" s="210" t="s">
        <v>1</v>
      </c>
      <c r="H204" s="210" t="s">
        <v>2</v>
      </c>
      <c r="I204" s="210" t="s">
        <v>12</v>
      </c>
      <c r="J204" s="219" t="s">
        <v>1129</v>
      </c>
      <c r="K204" s="219" t="s">
        <v>1130</v>
      </c>
      <c r="L204" s="219" t="s">
        <v>1131</v>
      </c>
      <c r="M204" s="232" t="s">
        <v>4</v>
      </c>
      <c r="N204" s="232" t="s">
        <v>5</v>
      </c>
      <c r="O204" s="213">
        <v>45216</v>
      </c>
      <c r="P204" s="233" t="s">
        <v>24</v>
      </c>
      <c r="Q204" s="233" t="s">
        <v>24</v>
      </c>
      <c r="R204" s="233" t="s">
        <v>24</v>
      </c>
      <c r="S204" s="233" t="s">
        <v>24</v>
      </c>
      <c r="T204" s="213" t="s">
        <v>105</v>
      </c>
      <c r="U204" s="233" t="s">
        <v>24</v>
      </c>
      <c r="V204" s="233" t="s">
        <v>24</v>
      </c>
      <c r="W204" s="233" t="s">
        <v>24</v>
      </c>
      <c r="X204" s="233" t="s">
        <v>24</v>
      </c>
      <c r="Y204" s="233" t="s">
        <v>24</v>
      </c>
      <c r="Z204" s="233" t="s">
        <v>24</v>
      </c>
      <c r="AA204" s="232"/>
      <c r="AB204" s="219" t="s">
        <v>1129</v>
      </c>
      <c r="AC204" s="219" t="s">
        <v>1130</v>
      </c>
      <c r="AD204" s="219" t="s">
        <v>1131</v>
      </c>
      <c r="AE204" s="220" t="s">
        <v>12</v>
      </c>
      <c r="AF204" s="232" t="s">
        <v>4</v>
      </c>
      <c r="AG204" s="230">
        <v>0</v>
      </c>
      <c r="AH204" s="230">
        <v>60000</v>
      </c>
      <c r="AI204" s="232" t="s">
        <v>6</v>
      </c>
      <c r="AJ204" s="230" t="s">
        <v>104</v>
      </c>
      <c r="AK204" s="232" t="s">
        <v>105</v>
      </c>
      <c r="AL204" s="232" t="s">
        <v>105</v>
      </c>
      <c r="AM204" s="232" t="s">
        <v>105</v>
      </c>
      <c r="AN204" s="232" t="s">
        <v>106</v>
      </c>
      <c r="AO204" s="232"/>
      <c r="AP204" s="234" t="s">
        <v>1132</v>
      </c>
      <c r="AQ204" s="232" t="s">
        <v>105</v>
      </c>
      <c r="AR204" s="232" t="s">
        <v>105</v>
      </c>
      <c r="AS204" s="232" t="s">
        <v>105</v>
      </c>
      <c r="AT204" s="232" t="s">
        <v>105</v>
      </c>
      <c r="AU204" s="233">
        <v>45278</v>
      </c>
      <c r="AV204" s="232" t="s">
        <v>105</v>
      </c>
      <c r="AW204" s="228" t="s">
        <v>105</v>
      </c>
      <c r="AX204" s="229">
        <v>45295</v>
      </c>
      <c r="AY204" s="236">
        <v>45300</v>
      </c>
      <c r="AZ204" s="235" t="s">
        <v>220</v>
      </c>
      <c r="BA204" s="235" t="s">
        <v>502</v>
      </c>
      <c r="BB204" s="217" t="s">
        <v>105</v>
      </c>
      <c r="BC204" s="218">
        <f t="shared" si="22"/>
        <v>84</v>
      </c>
      <c r="BD204" s="210" t="str">
        <f t="shared" si="20"/>
        <v>INDENIZAÇÃO</v>
      </c>
      <c r="BE204" s="210" t="str">
        <f t="shared" si="14"/>
        <v>NÃO</v>
      </c>
      <c r="BF204" s="210" t="s">
        <v>24</v>
      </c>
      <c r="BG204" s="210" t="s">
        <v>24</v>
      </c>
      <c r="BH204" s="210" t="s">
        <v>24</v>
      </c>
      <c r="BI204" s="210" t="s">
        <v>105</v>
      </c>
      <c r="BJ204" s="210" t="s">
        <v>105</v>
      </c>
      <c r="BK204" s="213">
        <v>45510</v>
      </c>
      <c r="BL204" s="210" t="s">
        <v>105</v>
      </c>
      <c r="BM204" s="266" t="s">
        <v>105</v>
      </c>
      <c r="BN204" s="232"/>
      <c r="BO204" s="232"/>
      <c r="BP204" s="232"/>
      <c r="BQ204" s="232"/>
      <c r="BR204" s="232"/>
      <c r="BS204" s="232"/>
      <c r="BT204" s="232"/>
      <c r="BU204" s="232"/>
      <c r="BV204" s="232"/>
      <c r="BW204" s="232"/>
      <c r="BX204" s="232"/>
      <c r="BY204" s="232"/>
    </row>
    <row r="205" spans="1:77" ht="35.25" customHeight="1" x14ac:dyDescent="0.25">
      <c r="A205" s="210">
        <v>192</v>
      </c>
      <c r="B205" s="210" t="s">
        <v>99</v>
      </c>
      <c r="C205" s="210">
        <v>2</v>
      </c>
      <c r="D205" s="210">
        <v>0</v>
      </c>
      <c r="E205" s="210">
        <v>0</v>
      </c>
      <c r="F205" s="219" t="s">
        <v>1133</v>
      </c>
      <c r="G205" s="210" t="s">
        <v>1</v>
      </c>
      <c r="H205" s="210" t="s">
        <v>2</v>
      </c>
      <c r="I205" s="210" t="s">
        <v>121</v>
      </c>
      <c r="J205" s="219" t="s">
        <v>1134</v>
      </c>
      <c r="K205" s="219" t="s">
        <v>1135</v>
      </c>
      <c r="L205" s="219" t="s">
        <v>1136</v>
      </c>
      <c r="M205" s="232" t="s">
        <v>4</v>
      </c>
      <c r="N205" s="232" t="s">
        <v>14</v>
      </c>
      <c r="O205" s="213">
        <v>45019</v>
      </c>
      <c r="P205" s="251">
        <v>45238</v>
      </c>
      <c r="Q205" s="229" t="s">
        <v>114</v>
      </c>
      <c r="R205" s="233" t="s">
        <v>105</v>
      </c>
      <c r="S205" s="233" t="s">
        <v>105</v>
      </c>
      <c r="T205" s="213" t="s">
        <v>105</v>
      </c>
      <c r="U205" s="251">
        <v>45264</v>
      </c>
      <c r="V205" s="213" t="s">
        <v>105</v>
      </c>
      <c r="W205" s="233">
        <v>45265</v>
      </c>
      <c r="X205" s="233">
        <v>45275</v>
      </c>
      <c r="Y205" s="236"/>
      <c r="Z205" s="236"/>
      <c r="AA205" s="232"/>
      <c r="AB205" s="219" t="s">
        <v>1137</v>
      </c>
      <c r="AC205" s="219" t="s">
        <v>1138</v>
      </c>
      <c r="AD205" s="219" t="s">
        <v>1139</v>
      </c>
      <c r="AE205" s="210" t="s">
        <v>547</v>
      </c>
      <c r="AF205" s="232" t="s">
        <v>4</v>
      </c>
      <c r="AG205" s="230">
        <v>22589.06</v>
      </c>
      <c r="AH205" s="230">
        <f>AG205+30000</f>
        <v>52589.06</v>
      </c>
      <c r="AI205" s="232" t="s">
        <v>6</v>
      </c>
      <c r="AJ205" s="230" t="s">
        <v>104</v>
      </c>
      <c r="AK205" s="232" t="s">
        <v>105</v>
      </c>
      <c r="AL205" s="232" t="s">
        <v>105</v>
      </c>
      <c r="AM205" s="232" t="s">
        <v>105</v>
      </c>
      <c r="AN205" s="232" t="s">
        <v>106</v>
      </c>
      <c r="AO205" s="250"/>
      <c r="AP205" s="234" t="s">
        <v>1140</v>
      </c>
      <c r="AQ205" s="232" t="s">
        <v>105</v>
      </c>
      <c r="AR205" s="232" t="s">
        <v>105</v>
      </c>
      <c r="AS205" s="232" t="s">
        <v>105</v>
      </c>
      <c r="AT205" s="228" t="s">
        <v>105</v>
      </c>
      <c r="AU205" s="229">
        <v>45286</v>
      </c>
      <c r="AV205" s="228" t="s">
        <v>105</v>
      </c>
      <c r="AW205" s="228" t="s">
        <v>105</v>
      </c>
      <c r="AX205" s="229">
        <v>45295</v>
      </c>
      <c r="AY205" s="236">
        <v>45306</v>
      </c>
      <c r="AZ205" s="235" t="s">
        <v>220</v>
      </c>
      <c r="BA205" s="235" t="s">
        <v>502</v>
      </c>
      <c r="BB205" s="217" t="s">
        <v>105</v>
      </c>
      <c r="BC205" s="218">
        <f t="shared" si="22"/>
        <v>287</v>
      </c>
      <c r="BD205" s="210" t="str">
        <f t="shared" si="20"/>
        <v>INDENIZAÇÃO</v>
      </c>
      <c r="BE205" s="210" t="str">
        <f t="shared" si="14"/>
        <v>NÃO</v>
      </c>
      <c r="BF205" s="210" t="s">
        <v>24</v>
      </c>
      <c r="BG205" s="210" t="s">
        <v>24</v>
      </c>
      <c r="BH205" s="210" t="s">
        <v>24</v>
      </c>
      <c r="BI205" s="210" t="s">
        <v>105</v>
      </c>
      <c r="BJ205" s="210" t="s">
        <v>105</v>
      </c>
      <c r="BK205" s="213">
        <v>45510</v>
      </c>
      <c r="BL205" s="210" t="s">
        <v>105</v>
      </c>
      <c r="BM205" s="241" t="s">
        <v>220</v>
      </c>
      <c r="BN205" s="232"/>
      <c r="BO205" s="232"/>
      <c r="BP205" s="232"/>
      <c r="BQ205" s="232"/>
      <c r="BR205" s="232"/>
      <c r="BS205" s="232"/>
      <c r="BT205" s="232"/>
      <c r="BU205" s="232"/>
      <c r="BV205" s="232"/>
      <c r="BW205" s="232"/>
      <c r="BX205" s="232"/>
      <c r="BY205" s="232"/>
    </row>
    <row r="206" spans="1:77" ht="35.25" customHeight="1" x14ac:dyDescent="0.25">
      <c r="A206" s="210">
        <v>193</v>
      </c>
      <c r="B206" s="210" t="s">
        <v>99</v>
      </c>
      <c r="C206" s="210">
        <v>2</v>
      </c>
      <c r="D206" s="210">
        <v>0</v>
      </c>
      <c r="E206" s="210">
        <v>0</v>
      </c>
      <c r="F206" s="219" t="s">
        <v>1141</v>
      </c>
      <c r="G206" s="220" t="s">
        <v>1</v>
      </c>
      <c r="H206" s="220" t="s">
        <v>2</v>
      </c>
      <c r="I206" s="210" t="s">
        <v>12</v>
      </c>
      <c r="J206" s="219" t="s">
        <v>1142</v>
      </c>
      <c r="K206" s="219" t="s">
        <v>1143</v>
      </c>
      <c r="L206" s="219" t="s">
        <v>1144</v>
      </c>
      <c r="M206" s="232" t="s">
        <v>4</v>
      </c>
      <c r="N206" s="232" t="s">
        <v>5</v>
      </c>
      <c r="O206" s="213">
        <v>45019</v>
      </c>
      <c r="P206" s="233" t="s">
        <v>24</v>
      </c>
      <c r="Q206" s="233" t="s">
        <v>24</v>
      </c>
      <c r="R206" s="233" t="s">
        <v>24</v>
      </c>
      <c r="S206" s="233" t="s">
        <v>24</v>
      </c>
      <c r="T206" s="233" t="s">
        <v>24</v>
      </c>
      <c r="U206" s="233" t="s">
        <v>24</v>
      </c>
      <c r="V206" s="233" t="s">
        <v>24</v>
      </c>
      <c r="W206" s="233" t="s">
        <v>24</v>
      </c>
      <c r="X206" s="233" t="s">
        <v>24</v>
      </c>
      <c r="Y206" s="233" t="s">
        <v>24</v>
      </c>
      <c r="Z206" s="233" t="s">
        <v>24</v>
      </c>
      <c r="AA206" s="232"/>
      <c r="AB206" s="219" t="s">
        <v>1142</v>
      </c>
      <c r="AC206" s="219" t="s">
        <v>1143</v>
      </c>
      <c r="AD206" s="219" t="s">
        <v>1144</v>
      </c>
      <c r="AE206" s="220" t="s">
        <v>12</v>
      </c>
      <c r="AF206" s="232" t="s">
        <v>4</v>
      </c>
      <c r="AG206" s="230">
        <v>38600</v>
      </c>
      <c r="AH206" s="230">
        <v>60000</v>
      </c>
      <c r="AI206" s="232" t="s">
        <v>6</v>
      </c>
      <c r="AJ206" s="230" t="s">
        <v>104</v>
      </c>
      <c r="AK206" s="232" t="s">
        <v>105</v>
      </c>
      <c r="AL206" s="232" t="s">
        <v>105</v>
      </c>
      <c r="AM206" s="232" t="s">
        <v>105</v>
      </c>
      <c r="AN206" s="232" t="s">
        <v>106</v>
      </c>
      <c r="AO206" s="259" t="s">
        <v>1145</v>
      </c>
      <c r="AP206" s="234" t="s">
        <v>1146</v>
      </c>
      <c r="AQ206" s="232" t="s">
        <v>105</v>
      </c>
      <c r="AR206" s="232" t="s">
        <v>105</v>
      </c>
      <c r="AS206" s="232" t="s">
        <v>105</v>
      </c>
      <c r="AT206" s="232" t="s">
        <v>105</v>
      </c>
      <c r="AU206" s="213">
        <v>45441</v>
      </c>
      <c r="AV206" s="228" t="s">
        <v>105</v>
      </c>
      <c r="AW206" s="228" t="s">
        <v>105</v>
      </c>
      <c r="AX206" s="213">
        <v>45450</v>
      </c>
      <c r="AY206" s="269">
        <v>45450</v>
      </c>
      <c r="AZ206" s="236" t="s">
        <v>220</v>
      </c>
      <c r="BA206" s="235" t="s">
        <v>502</v>
      </c>
      <c r="BB206" s="217" t="s">
        <v>105</v>
      </c>
      <c r="BC206" s="218">
        <f t="shared" si="22"/>
        <v>431</v>
      </c>
      <c r="BD206" s="210" t="str">
        <f t="shared" si="20"/>
        <v>INDENIZAÇÃO</v>
      </c>
      <c r="BE206" s="210" t="str">
        <f t="shared" ref="BE206:BE266" si="23">IF(AND(AY206&lt;&gt;"AGUARDANDO",AY206&lt;&gt;"",N206="AUXÍLIO ALUGUEL ATÉ INDENIZAÇÃO"),"SIM","NÃO")</f>
        <v>NÃO</v>
      </c>
      <c r="BF206" s="210" t="s">
        <v>24</v>
      </c>
      <c r="BG206" s="210" t="s">
        <v>24</v>
      </c>
      <c r="BH206" s="210" t="s">
        <v>24</v>
      </c>
      <c r="BI206" s="210" t="s">
        <v>105</v>
      </c>
      <c r="BJ206" s="210" t="s">
        <v>105</v>
      </c>
      <c r="BK206" s="213">
        <v>45621</v>
      </c>
      <c r="BL206" s="210" t="s">
        <v>105</v>
      </c>
      <c r="BM206" s="241" t="s">
        <v>220</v>
      </c>
      <c r="BN206" s="232"/>
      <c r="BO206" s="232"/>
      <c r="BP206" s="232"/>
      <c r="BQ206" s="232"/>
      <c r="BR206" s="232"/>
      <c r="BS206" s="232"/>
      <c r="BT206" s="232"/>
      <c r="BU206" s="232"/>
      <c r="BV206" s="232"/>
      <c r="BW206" s="232"/>
      <c r="BX206" s="232"/>
      <c r="BY206" s="232"/>
    </row>
    <row r="207" spans="1:77" ht="35.25" customHeight="1" x14ac:dyDescent="0.25">
      <c r="A207" s="210">
        <v>194</v>
      </c>
      <c r="B207" s="210" t="s">
        <v>99</v>
      </c>
      <c r="C207" s="210">
        <v>2</v>
      </c>
      <c r="D207" s="210">
        <v>0</v>
      </c>
      <c r="E207" s="210">
        <v>0</v>
      </c>
      <c r="F207" s="219" t="s">
        <v>1147</v>
      </c>
      <c r="G207" s="210" t="s">
        <v>1</v>
      </c>
      <c r="H207" s="210" t="s">
        <v>2</v>
      </c>
      <c r="I207" s="210" t="s">
        <v>12</v>
      </c>
      <c r="J207" s="219" t="s">
        <v>1148</v>
      </c>
      <c r="K207" s="219" t="s">
        <v>1149</v>
      </c>
      <c r="L207" s="219" t="s">
        <v>1150</v>
      </c>
      <c r="M207" s="232" t="s">
        <v>4</v>
      </c>
      <c r="N207" s="232" t="s">
        <v>5</v>
      </c>
      <c r="O207" s="213">
        <v>45216</v>
      </c>
      <c r="P207" s="233" t="s">
        <v>24</v>
      </c>
      <c r="Q207" s="233" t="s">
        <v>24</v>
      </c>
      <c r="R207" s="233" t="s">
        <v>24</v>
      </c>
      <c r="S207" s="233" t="s">
        <v>24</v>
      </c>
      <c r="T207" s="233" t="s">
        <v>24</v>
      </c>
      <c r="U207" s="233" t="s">
        <v>24</v>
      </c>
      <c r="V207" s="233" t="s">
        <v>24</v>
      </c>
      <c r="W207" s="233" t="s">
        <v>24</v>
      </c>
      <c r="X207" s="233" t="s">
        <v>24</v>
      </c>
      <c r="Y207" s="233" t="s">
        <v>24</v>
      </c>
      <c r="Z207" s="233" t="s">
        <v>24</v>
      </c>
      <c r="AA207" s="232"/>
      <c r="AB207" s="219" t="s">
        <v>1148</v>
      </c>
      <c r="AC207" s="219" t="s">
        <v>1149</v>
      </c>
      <c r="AD207" s="219" t="s">
        <v>1150</v>
      </c>
      <c r="AE207" s="220" t="s">
        <v>12</v>
      </c>
      <c r="AF207" s="232" t="s">
        <v>4</v>
      </c>
      <c r="AG207" s="230">
        <f>AH207-30000</f>
        <v>26200</v>
      </c>
      <c r="AH207" s="230">
        <v>56200</v>
      </c>
      <c r="AI207" s="232" t="s">
        <v>6</v>
      </c>
      <c r="AJ207" s="230" t="s">
        <v>104</v>
      </c>
      <c r="AK207" s="232" t="s">
        <v>105</v>
      </c>
      <c r="AL207" s="232" t="s">
        <v>105</v>
      </c>
      <c r="AM207" s="232" t="s">
        <v>105</v>
      </c>
      <c r="AN207" s="232" t="s">
        <v>106</v>
      </c>
      <c r="AO207" s="259" t="s">
        <v>1151</v>
      </c>
      <c r="AP207" s="234" t="s">
        <v>1152</v>
      </c>
      <c r="AQ207" s="228" t="s">
        <v>501</v>
      </c>
      <c r="AR207" s="228" t="s">
        <v>501</v>
      </c>
      <c r="AS207" s="228" t="s">
        <v>501</v>
      </c>
      <c r="AT207" s="228" t="s">
        <v>501</v>
      </c>
      <c r="AU207" s="213">
        <v>45425</v>
      </c>
      <c r="AV207" s="228" t="s">
        <v>501</v>
      </c>
      <c r="AW207" s="228" t="s">
        <v>501</v>
      </c>
      <c r="AX207" s="213">
        <v>45429</v>
      </c>
      <c r="AY207" s="236">
        <v>45429</v>
      </c>
      <c r="AZ207" s="236" t="s">
        <v>220</v>
      </c>
      <c r="BA207" s="235" t="s">
        <v>502</v>
      </c>
      <c r="BB207" s="217" t="s">
        <v>105</v>
      </c>
      <c r="BC207" s="218">
        <f t="shared" si="22"/>
        <v>213</v>
      </c>
      <c r="BD207" s="210" t="str">
        <f t="shared" si="20"/>
        <v>INDENIZAÇÃO</v>
      </c>
      <c r="BE207" s="210" t="str">
        <f t="shared" si="23"/>
        <v>NÃO</v>
      </c>
      <c r="BF207" s="210" t="s">
        <v>24</v>
      </c>
      <c r="BG207" s="210" t="s">
        <v>24</v>
      </c>
      <c r="BH207" s="210" t="s">
        <v>24</v>
      </c>
      <c r="BI207" s="210" t="s">
        <v>105</v>
      </c>
      <c r="BJ207" s="210" t="s">
        <v>105</v>
      </c>
      <c r="BK207" s="213">
        <v>45483</v>
      </c>
      <c r="BL207" s="210" t="s">
        <v>105</v>
      </c>
      <c r="BM207" s="241" t="s">
        <v>220</v>
      </c>
      <c r="BN207" s="232"/>
      <c r="BO207" s="232"/>
      <c r="BP207" s="232"/>
      <c r="BQ207" s="232"/>
      <c r="BR207" s="232"/>
      <c r="BS207" s="232"/>
      <c r="BT207" s="232"/>
      <c r="BU207" s="232"/>
      <c r="BV207" s="232"/>
      <c r="BW207" s="232"/>
      <c r="BX207" s="232"/>
      <c r="BY207" s="232"/>
    </row>
    <row r="208" spans="1:77" ht="35.25" hidden="1" customHeight="1" x14ac:dyDescent="0.25">
      <c r="A208" s="210">
        <v>195</v>
      </c>
      <c r="B208" s="210" t="s">
        <v>99</v>
      </c>
      <c r="C208" s="210">
        <v>2</v>
      </c>
      <c r="D208" s="210">
        <v>0</v>
      </c>
      <c r="E208" s="210">
        <v>0</v>
      </c>
      <c r="F208" s="219" t="s">
        <v>1153</v>
      </c>
      <c r="G208" s="220" t="s">
        <v>1</v>
      </c>
      <c r="H208" s="220" t="s">
        <v>2</v>
      </c>
      <c r="I208" s="210" t="s">
        <v>12</v>
      </c>
      <c r="J208" s="219" t="s">
        <v>1154</v>
      </c>
      <c r="K208" s="219" t="s">
        <v>1155</v>
      </c>
      <c r="L208" s="219" t="s">
        <v>1156</v>
      </c>
      <c r="M208" s="232"/>
      <c r="N208" s="232"/>
      <c r="O208" s="213">
        <v>45019</v>
      </c>
      <c r="P208" s="233"/>
      <c r="Q208" s="233"/>
      <c r="R208" s="233"/>
      <c r="S208" s="233"/>
      <c r="T208" s="213" t="s">
        <v>105</v>
      </c>
      <c r="U208" s="233"/>
      <c r="V208" s="233"/>
      <c r="W208" s="233"/>
      <c r="X208" s="233"/>
      <c r="Y208" s="233"/>
      <c r="Z208" s="233"/>
      <c r="AA208" s="232"/>
      <c r="AB208" s="219" t="s">
        <v>1154</v>
      </c>
      <c r="AC208" s="219" t="s">
        <v>1155</v>
      </c>
      <c r="AD208" s="219" t="s">
        <v>1156</v>
      </c>
      <c r="AE208" s="220" t="s">
        <v>12</v>
      </c>
      <c r="AF208" s="232"/>
      <c r="AG208" s="230" t="s">
        <v>139</v>
      </c>
      <c r="AH208" s="230" t="s">
        <v>139</v>
      </c>
      <c r="AI208" s="232"/>
      <c r="AJ208" s="230" t="s">
        <v>104</v>
      </c>
      <c r="AK208" s="232"/>
      <c r="AL208" s="232"/>
      <c r="AM208" s="232"/>
      <c r="AN208" s="232"/>
      <c r="AO208" s="232"/>
      <c r="AP208" s="234"/>
      <c r="AQ208" s="232"/>
      <c r="AR208" s="232"/>
      <c r="AS208" s="232"/>
      <c r="AT208" s="232"/>
      <c r="AU208" s="232"/>
      <c r="AV208" s="232"/>
      <c r="AW208" s="232"/>
      <c r="AX208" s="233"/>
      <c r="AY208" s="232"/>
      <c r="AZ208" s="233"/>
      <c r="BA208" s="232"/>
      <c r="BB208" s="232"/>
      <c r="BC208" s="218" t="str">
        <f t="shared" si="22"/>
        <v/>
      </c>
      <c r="BD208" s="210" t="str">
        <f t="shared" si="20"/>
        <v>INDENIZAÇÃO</v>
      </c>
      <c r="BE208" s="210" t="str">
        <f t="shared" si="23"/>
        <v>NÃO</v>
      </c>
      <c r="BF208" s="210"/>
      <c r="BG208" s="210"/>
      <c r="BH208" s="210"/>
      <c r="BI208" s="210"/>
      <c r="BJ208" s="210"/>
      <c r="BK208" s="210"/>
      <c r="BL208" s="210"/>
      <c r="BM208" s="210"/>
      <c r="BN208" s="232"/>
      <c r="BO208" s="232"/>
      <c r="BP208" s="232"/>
      <c r="BQ208" s="232"/>
      <c r="BR208" s="232"/>
      <c r="BS208" s="232"/>
      <c r="BT208" s="232"/>
      <c r="BU208" s="232"/>
      <c r="BV208" s="232"/>
      <c r="BW208" s="232"/>
      <c r="BX208" s="232"/>
      <c r="BY208" s="232"/>
    </row>
    <row r="209" spans="1:77" ht="35.25" hidden="1" customHeight="1" x14ac:dyDescent="0.25">
      <c r="A209" s="210">
        <v>196</v>
      </c>
      <c r="B209" s="277" t="s">
        <v>99</v>
      </c>
      <c r="C209" s="277">
        <v>2</v>
      </c>
      <c r="D209" s="277">
        <v>0</v>
      </c>
      <c r="E209" s="277">
        <v>0</v>
      </c>
      <c r="F209" s="276" t="s">
        <v>1157</v>
      </c>
      <c r="G209" s="277" t="s">
        <v>1</v>
      </c>
      <c r="H209" s="277" t="s">
        <v>2</v>
      </c>
      <c r="I209" s="277" t="s">
        <v>12</v>
      </c>
      <c r="J209" s="276" t="s">
        <v>1158</v>
      </c>
      <c r="K209" s="276" t="s">
        <v>1159</v>
      </c>
      <c r="L209" s="276" t="s">
        <v>1160</v>
      </c>
      <c r="M209" s="255"/>
      <c r="N209" s="255" t="s">
        <v>467</v>
      </c>
      <c r="O209" s="256">
        <v>45019</v>
      </c>
      <c r="P209" s="239"/>
      <c r="Q209" s="239"/>
      <c r="R209" s="239"/>
      <c r="S209" s="239"/>
      <c r="T209" s="256" t="s">
        <v>105</v>
      </c>
      <c r="U209" s="239"/>
      <c r="V209" s="239"/>
      <c r="W209" s="239"/>
      <c r="X209" s="239"/>
      <c r="Y209" s="239"/>
      <c r="Z209" s="239"/>
      <c r="AA209" s="255"/>
      <c r="AB209" s="276" t="s">
        <v>1158</v>
      </c>
      <c r="AC209" s="276" t="s">
        <v>1159</v>
      </c>
      <c r="AD209" s="276" t="s">
        <v>1160</v>
      </c>
      <c r="AE209" s="277" t="s">
        <v>12</v>
      </c>
      <c r="AF209" s="255"/>
      <c r="AG209" s="292" t="s">
        <v>139</v>
      </c>
      <c r="AH209" s="292" t="s">
        <v>139</v>
      </c>
      <c r="AI209" s="255" t="s">
        <v>467</v>
      </c>
      <c r="AJ209" s="230" t="s">
        <v>104</v>
      </c>
      <c r="AK209" s="255"/>
      <c r="AL209" s="255"/>
      <c r="AM209" s="255"/>
      <c r="AN209" s="255"/>
      <c r="AO209" s="255" t="s">
        <v>467</v>
      </c>
      <c r="AP209" s="257"/>
      <c r="AQ209" s="255"/>
      <c r="AR209" s="255"/>
      <c r="AS209" s="255"/>
      <c r="AT209" s="255"/>
      <c r="AU209" s="255"/>
      <c r="AV209" s="255"/>
      <c r="AW209" s="255"/>
      <c r="AX209" s="239"/>
      <c r="AY209" s="255"/>
      <c r="AZ209" s="239"/>
      <c r="BA209" s="255"/>
      <c r="BB209" s="255" t="s">
        <v>467</v>
      </c>
      <c r="BC209" s="218" t="str">
        <f t="shared" si="22"/>
        <v/>
      </c>
      <c r="BD209" s="210" t="str">
        <f t="shared" si="20"/>
        <v>INDENIZAÇÃO</v>
      </c>
      <c r="BE209" s="210" t="str">
        <f t="shared" si="23"/>
        <v>NÃO</v>
      </c>
      <c r="BF209" s="228"/>
      <c r="BG209" s="228"/>
      <c r="BH209" s="228"/>
      <c r="BI209" s="228"/>
      <c r="BJ209" s="228"/>
      <c r="BK209" s="228"/>
      <c r="BL209" s="228"/>
      <c r="BM209" s="228"/>
      <c r="BN209" s="232"/>
      <c r="BO209" s="232"/>
      <c r="BP209" s="232"/>
      <c r="BQ209" s="232"/>
      <c r="BR209" s="232"/>
      <c r="BS209" s="232"/>
      <c r="BT209" s="232"/>
      <c r="BU209" s="232"/>
      <c r="BV209" s="232"/>
      <c r="BW209" s="232"/>
      <c r="BX209" s="232"/>
      <c r="BY209" s="232"/>
    </row>
    <row r="210" spans="1:77" ht="35.25" customHeight="1" x14ac:dyDescent="0.25">
      <c r="A210" s="210">
        <v>197</v>
      </c>
      <c r="B210" s="210" t="s">
        <v>99</v>
      </c>
      <c r="C210" s="210">
        <v>2</v>
      </c>
      <c r="D210" s="210">
        <v>0</v>
      </c>
      <c r="E210" s="210">
        <v>0</v>
      </c>
      <c r="F210" s="219" t="s">
        <v>1161</v>
      </c>
      <c r="G210" s="279" t="s">
        <v>1</v>
      </c>
      <c r="H210" s="279" t="s">
        <v>2</v>
      </c>
      <c r="I210" s="210" t="s">
        <v>12</v>
      </c>
      <c r="J210" s="219" t="s">
        <v>1162</v>
      </c>
      <c r="K210" s="219" t="s">
        <v>1163</v>
      </c>
      <c r="L210" s="219" t="s">
        <v>1164</v>
      </c>
      <c r="M210" s="232" t="s">
        <v>4</v>
      </c>
      <c r="N210" s="232" t="s">
        <v>5</v>
      </c>
      <c r="O210" s="213">
        <v>45433</v>
      </c>
      <c r="P210" s="233" t="s">
        <v>24</v>
      </c>
      <c r="Q210" s="233" t="s">
        <v>24</v>
      </c>
      <c r="R210" s="233" t="s">
        <v>24</v>
      </c>
      <c r="S210" s="233" t="s">
        <v>24</v>
      </c>
      <c r="T210" s="233" t="s">
        <v>24</v>
      </c>
      <c r="U210" s="233" t="s">
        <v>24</v>
      </c>
      <c r="V210" s="233" t="s">
        <v>24</v>
      </c>
      <c r="W210" s="233" t="s">
        <v>24</v>
      </c>
      <c r="X210" s="233" t="s">
        <v>24</v>
      </c>
      <c r="Y210" s="233" t="s">
        <v>24</v>
      </c>
      <c r="Z210" s="233" t="s">
        <v>24</v>
      </c>
      <c r="AA210" s="232"/>
      <c r="AB210" s="219" t="s">
        <v>1162</v>
      </c>
      <c r="AC210" s="219" t="s">
        <v>1163</v>
      </c>
      <c r="AD210" s="219" t="s">
        <v>1164</v>
      </c>
      <c r="AE210" s="220" t="s">
        <v>12</v>
      </c>
      <c r="AF210" s="232" t="s">
        <v>4</v>
      </c>
      <c r="AG210" s="230">
        <v>15894.51</v>
      </c>
      <c r="AH210" s="230">
        <f>AG210+30000</f>
        <v>45894.51</v>
      </c>
      <c r="AI210" s="232" t="s">
        <v>6</v>
      </c>
      <c r="AJ210" s="230" t="s">
        <v>104</v>
      </c>
      <c r="AK210" s="232" t="s">
        <v>105</v>
      </c>
      <c r="AL210" s="232" t="s">
        <v>105</v>
      </c>
      <c r="AM210" s="232" t="s">
        <v>105</v>
      </c>
      <c r="AN210" s="232" t="s">
        <v>106</v>
      </c>
      <c r="AO210" s="232"/>
      <c r="AP210" s="234" t="s">
        <v>1165</v>
      </c>
      <c r="AQ210" s="228" t="s">
        <v>501</v>
      </c>
      <c r="AR210" s="228" t="s">
        <v>501</v>
      </c>
      <c r="AS210" s="210" t="s">
        <v>105</v>
      </c>
      <c r="AT210" s="210" t="s">
        <v>105</v>
      </c>
      <c r="AU210" s="213">
        <v>45489</v>
      </c>
      <c r="AV210" s="210" t="s">
        <v>105</v>
      </c>
      <c r="AW210" s="210" t="s">
        <v>105</v>
      </c>
      <c r="AX210" s="213">
        <v>45495</v>
      </c>
      <c r="AY210" s="236">
        <v>45495</v>
      </c>
      <c r="AZ210" s="235" t="s">
        <v>220</v>
      </c>
      <c r="BA210" s="235" t="s">
        <v>502</v>
      </c>
      <c r="BB210" s="217" t="s">
        <v>105</v>
      </c>
      <c r="BC210" s="218">
        <f t="shared" si="22"/>
        <v>62</v>
      </c>
      <c r="BD210" s="210" t="str">
        <f t="shared" si="20"/>
        <v>INDENIZAÇÃO</v>
      </c>
      <c r="BE210" s="210" t="str">
        <f t="shared" si="23"/>
        <v>NÃO</v>
      </c>
      <c r="BF210" s="210" t="s">
        <v>24</v>
      </c>
      <c r="BG210" s="210" t="s">
        <v>24</v>
      </c>
      <c r="BH210" s="210" t="s">
        <v>24</v>
      </c>
      <c r="BI210" s="210" t="s">
        <v>105</v>
      </c>
      <c r="BJ210" s="210" t="s">
        <v>105</v>
      </c>
      <c r="BK210" s="213">
        <v>45621</v>
      </c>
      <c r="BL210" s="210" t="s">
        <v>105</v>
      </c>
      <c r="BM210" s="241" t="s">
        <v>220</v>
      </c>
      <c r="BN210" s="232"/>
      <c r="BO210" s="232"/>
      <c r="BP210" s="232"/>
      <c r="BQ210" s="232"/>
      <c r="BR210" s="232"/>
      <c r="BS210" s="232"/>
      <c r="BT210" s="232"/>
      <c r="BU210" s="232"/>
      <c r="BV210" s="232"/>
      <c r="BW210" s="232"/>
      <c r="BX210" s="232"/>
      <c r="BY210" s="232"/>
    </row>
    <row r="211" spans="1:77" ht="35.25" hidden="1" customHeight="1" x14ac:dyDescent="0.25">
      <c r="A211" s="210">
        <v>198</v>
      </c>
      <c r="B211" s="210" t="s">
        <v>99</v>
      </c>
      <c r="C211" s="210">
        <v>2</v>
      </c>
      <c r="D211" s="210">
        <v>0</v>
      </c>
      <c r="E211" s="210">
        <v>0</v>
      </c>
      <c r="F211" s="219" t="s">
        <v>1166</v>
      </c>
      <c r="G211" s="210" t="s">
        <v>1</v>
      </c>
      <c r="H211" s="210" t="s">
        <v>2</v>
      </c>
      <c r="I211" s="210" t="s">
        <v>139</v>
      </c>
      <c r="J211" s="219" t="s">
        <v>1167</v>
      </c>
      <c r="K211" s="219" t="s">
        <v>139</v>
      </c>
      <c r="L211" s="219" t="s">
        <v>139</v>
      </c>
      <c r="M211" s="232"/>
      <c r="N211" s="232"/>
      <c r="O211" s="213">
        <v>45019</v>
      </c>
      <c r="P211" s="233"/>
      <c r="Q211" s="233"/>
      <c r="R211" s="233"/>
      <c r="S211" s="233"/>
      <c r="T211" s="213" t="s">
        <v>105</v>
      </c>
      <c r="U211" s="233"/>
      <c r="V211" s="233"/>
      <c r="W211" s="233"/>
      <c r="X211" s="233"/>
      <c r="Y211" s="233"/>
      <c r="Z211" s="233"/>
      <c r="AA211" s="232"/>
      <c r="AB211" s="219" t="s">
        <v>139</v>
      </c>
      <c r="AC211" s="219" t="s">
        <v>139</v>
      </c>
      <c r="AD211" s="219" t="s">
        <v>139</v>
      </c>
      <c r="AE211" s="210" t="s">
        <v>139</v>
      </c>
      <c r="AF211" s="232"/>
      <c r="AG211" s="230" t="s">
        <v>139</v>
      </c>
      <c r="AH211" s="230" t="s">
        <v>139</v>
      </c>
      <c r="AI211" s="232"/>
      <c r="AJ211" s="230" t="s">
        <v>104</v>
      </c>
      <c r="AK211" s="232"/>
      <c r="AL211" s="232"/>
      <c r="AM211" s="232"/>
      <c r="AN211" s="232"/>
      <c r="AO211" s="232"/>
      <c r="AP211" s="234"/>
      <c r="AQ211" s="232"/>
      <c r="AR211" s="232"/>
      <c r="AS211" s="232"/>
      <c r="AT211" s="232"/>
      <c r="AU211" s="232"/>
      <c r="AV211" s="232"/>
      <c r="AW211" s="232"/>
      <c r="AX211" s="233"/>
      <c r="AY211" s="232"/>
      <c r="AZ211" s="233"/>
      <c r="BA211" s="232"/>
      <c r="BB211" s="232"/>
      <c r="BC211" s="218" t="str">
        <f t="shared" si="22"/>
        <v/>
      </c>
      <c r="BD211" s="210" t="str">
        <f t="shared" si="20"/>
        <v>INDENIZAÇÃO</v>
      </c>
      <c r="BE211" s="210" t="str">
        <f t="shared" si="23"/>
        <v>NÃO</v>
      </c>
      <c r="BF211" s="210"/>
      <c r="BG211" s="210"/>
      <c r="BH211" s="210"/>
      <c r="BI211" s="210"/>
      <c r="BJ211" s="210"/>
      <c r="BK211" s="210"/>
      <c r="BL211" s="210"/>
      <c r="BM211" s="210"/>
      <c r="BN211" s="232"/>
      <c r="BO211" s="232"/>
      <c r="BP211" s="232"/>
      <c r="BQ211" s="232"/>
      <c r="BR211" s="232"/>
      <c r="BS211" s="232"/>
      <c r="BT211" s="232"/>
      <c r="BU211" s="232"/>
      <c r="BV211" s="232"/>
      <c r="BW211" s="232"/>
      <c r="BX211" s="232"/>
      <c r="BY211" s="232"/>
    </row>
    <row r="212" spans="1:77" ht="35.25" hidden="1" customHeight="1" x14ac:dyDescent="0.25">
      <c r="A212" s="210">
        <v>199</v>
      </c>
      <c r="B212" s="210" t="s">
        <v>99</v>
      </c>
      <c r="C212" s="210">
        <v>2</v>
      </c>
      <c r="D212" s="210">
        <v>0</v>
      </c>
      <c r="E212" s="210">
        <v>0</v>
      </c>
      <c r="F212" s="219" t="s">
        <v>1168</v>
      </c>
      <c r="G212" s="210" t="s">
        <v>10</v>
      </c>
      <c r="H212" s="210" t="s">
        <v>2</v>
      </c>
      <c r="I212" s="210" t="s">
        <v>139</v>
      </c>
      <c r="J212" s="219" t="s">
        <v>1169</v>
      </c>
      <c r="K212" s="219" t="s">
        <v>139</v>
      </c>
      <c r="L212" s="219" t="s">
        <v>139</v>
      </c>
      <c r="M212" s="232"/>
      <c r="N212" s="232"/>
      <c r="O212" s="213">
        <v>45019</v>
      </c>
      <c r="P212" s="233"/>
      <c r="Q212" s="233"/>
      <c r="R212" s="233"/>
      <c r="S212" s="233"/>
      <c r="T212" s="213" t="s">
        <v>105</v>
      </c>
      <c r="U212" s="233"/>
      <c r="V212" s="233"/>
      <c r="W212" s="233"/>
      <c r="X212" s="233"/>
      <c r="Y212" s="233"/>
      <c r="Z212" s="233"/>
      <c r="AA212" s="232"/>
      <c r="AB212" s="219" t="s">
        <v>139</v>
      </c>
      <c r="AC212" s="219" t="s">
        <v>139</v>
      </c>
      <c r="AD212" s="219" t="s">
        <v>139</v>
      </c>
      <c r="AE212" s="210" t="s">
        <v>139</v>
      </c>
      <c r="AF212" s="232"/>
      <c r="AG212" s="230" t="s">
        <v>139</v>
      </c>
      <c r="AH212" s="230" t="s">
        <v>139</v>
      </c>
      <c r="AI212" s="232"/>
      <c r="AJ212" s="230" t="s">
        <v>104</v>
      </c>
      <c r="AK212" s="232"/>
      <c r="AL212" s="232"/>
      <c r="AM212" s="232"/>
      <c r="AN212" s="232"/>
      <c r="AO212" s="232"/>
      <c r="AP212" s="234"/>
      <c r="AQ212" s="232"/>
      <c r="AR212" s="232"/>
      <c r="AS212" s="232"/>
      <c r="AT212" s="232"/>
      <c r="AU212" s="232"/>
      <c r="AV212" s="232"/>
      <c r="AW212" s="232"/>
      <c r="AX212" s="233"/>
      <c r="AY212" s="232"/>
      <c r="AZ212" s="233"/>
      <c r="BA212" s="232"/>
      <c r="BB212" s="232"/>
      <c r="BC212" s="218" t="str">
        <f t="shared" si="22"/>
        <v/>
      </c>
      <c r="BD212" s="210" t="str">
        <f t="shared" si="20"/>
        <v>INDENIZAÇÃO</v>
      </c>
      <c r="BE212" s="210" t="str">
        <f t="shared" si="23"/>
        <v>NÃO</v>
      </c>
      <c r="BF212" s="210"/>
      <c r="BG212" s="210"/>
      <c r="BH212" s="210"/>
      <c r="BI212" s="210"/>
      <c r="BJ212" s="210"/>
      <c r="BK212" s="210"/>
      <c r="BL212" s="210"/>
      <c r="BM212" s="210"/>
      <c r="BN212" s="232"/>
      <c r="BO212" s="232"/>
      <c r="BP212" s="232"/>
      <c r="BQ212" s="232"/>
      <c r="BR212" s="232"/>
      <c r="BS212" s="232"/>
      <c r="BT212" s="232"/>
      <c r="BU212" s="232"/>
      <c r="BV212" s="232"/>
      <c r="BW212" s="232"/>
      <c r="BX212" s="232"/>
      <c r="BY212" s="232"/>
    </row>
    <row r="213" spans="1:77" ht="35.25" hidden="1" customHeight="1" x14ac:dyDescent="0.25">
      <c r="A213" s="210">
        <v>200</v>
      </c>
      <c r="B213" s="210" t="s">
        <v>99</v>
      </c>
      <c r="C213" s="210">
        <v>2</v>
      </c>
      <c r="D213" s="210">
        <v>0</v>
      </c>
      <c r="E213" s="210">
        <v>0</v>
      </c>
      <c r="F213" s="219" t="s">
        <v>1170</v>
      </c>
      <c r="G213" s="210" t="s">
        <v>1</v>
      </c>
      <c r="H213" s="210" t="s">
        <v>2</v>
      </c>
      <c r="I213" s="210" t="s">
        <v>139</v>
      </c>
      <c r="J213" s="219" t="s">
        <v>1169</v>
      </c>
      <c r="K213" s="219" t="s">
        <v>139</v>
      </c>
      <c r="L213" s="219" t="s">
        <v>139</v>
      </c>
      <c r="M213" s="232"/>
      <c r="N213" s="232"/>
      <c r="O213" s="213">
        <v>45019</v>
      </c>
      <c r="P213" s="233"/>
      <c r="Q213" s="233"/>
      <c r="R213" s="233"/>
      <c r="S213" s="233"/>
      <c r="T213" s="213" t="s">
        <v>105</v>
      </c>
      <c r="U213" s="233"/>
      <c r="V213" s="233"/>
      <c r="W213" s="233"/>
      <c r="X213" s="233"/>
      <c r="Y213" s="233"/>
      <c r="Z213" s="233"/>
      <c r="AA213" s="232"/>
      <c r="AB213" s="219" t="s">
        <v>139</v>
      </c>
      <c r="AC213" s="219" t="s">
        <v>139</v>
      </c>
      <c r="AD213" s="219" t="s">
        <v>139</v>
      </c>
      <c r="AE213" s="210" t="s">
        <v>139</v>
      </c>
      <c r="AF213" s="232"/>
      <c r="AG213" s="230" t="s">
        <v>139</v>
      </c>
      <c r="AH213" s="230" t="s">
        <v>139</v>
      </c>
      <c r="AI213" s="232"/>
      <c r="AJ213" s="230" t="s">
        <v>104</v>
      </c>
      <c r="AK213" s="232"/>
      <c r="AL213" s="232"/>
      <c r="AM213" s="232"/>
      <c r="AN213" s="232"/>
      <c r="AO213" s="232"/>
      <c r="AP213" s="234"/>
      <c r="AQ213" s="232"/>
      <c r="AR213" s="232"/>
      <c r="AS213" s="232"/>
      <c r="AT213" s="232"/>
      <c r="AU213" s="232"/>
      <c r="AV213" s="232"/>
      <c r="AW213" s="232"/>
      <c r="AX213" s="233"/>
      <c r="AY213" s="232"/>
      <c r="AZ213" s="233"/>
      <c r="BA213" s="232"/>
      <c r="BB213" s="232"/>
      <c r="BC213" s="218" t="str">
        <f t="shared" si="22"/>
        <v/>
      </c>
      <c r="BD213" s="210" t="str">
        <f t="shared" si="20"/>
        <v>INDENIZAÇÃO</v>
      </c>
      <c r="BE213" s="210" t="str">
        <f t="shared" si="23"/>
        <v>NÃO</v>
      </c>
      <c r="BF213" s="210"/>
      <c r="BG213" s="210"/>
      <c r="BH213" s="210"/>
      <c r="BI213" s="210"/>
      <c r="BJ213" s="210"/>
      <c r="BK213" s="210"/>
      <c r="BL213" s="210"/>
      <c r="BM213" s="210"/>
      <c r="BN213" s="232"/>
      <c r="BO213" s="232"/>
      <c r="BP213" s="232"/>
      <c r="BQ213" s="232"/>
      <c r="BR213" s="232"/>
      <c r="BS213" s="232"/>
      <c r="BT213" s="232"/>
      <c r="BU213" s="232"/>
      <c r="BV213" s="232"/>
      <c r="BW213" s="232"/>
      <c r="BX213" s="232"/>
      <c r="BY213" s="232"/>
    </row>
    <row r="214" spans="1:77" ht="35.25" hidden="1" customHeight="1" x14ac:dyDescent="0.25">
      <c r="A214" s="210">
        <v>201</v>
      </c>
      <c r="B214" s="210" t="s">
        <v>99</v>
      </c>
      <c r="C214" s="210">
        <v>2</v>
      </c>
      <c r="D214" s="210">
        <v>0</v>
      </c>
      <c r="E214" s="210">
        <v>0</v>
      </c>
      <c r="F214" s="219" t="s">
        <v>1171</v>
      </c>
      <c r="G214" s="210" t="s">
        <v>1</v>
      </c>
      <c r="H214" s="210" t="s">
        <v>366</v>
      </c>
      <c r="I214" s="210" t="s">
        <v>139</v>
      </c>
      <c r="J214" s="219" t="s">
        <v>139</v>
      </c>
      <c r="K214" s="219" t="s">
        <v>139</v>
      </c>
      <c r="L214" s="219" t="s">
        <v>139</v>
      </c>
      <c r="M214" s="232"/>
      <c r="N214" s="232"/>
      <c r="O214" s="213">
        <v>45019</v>
      </c>
      <c r="P214" s="233"/>
      <c r="Q214" s="233"/>
      <c r="R214" s="233"/>
      <c r="S214" s="233"/>
      <c r="T214" s="213" t="s">
        <v>105</v>
      </c>
      <c r="U214" s="233"/>
      <c r="V214" s="233"/>
      <c r="W214" s="233"/>
      <c r="X214" s="233"/>
      <c r="Y214" s="233"/>
      <c r="Z214" s="233"/>
      <c r="AA214" s="232"/>
      <c r="AB214" s="219" t="s">
        <v>139</v>
      </c>
      <c r="AC214" s="219" t="s">
        <v>139</v>
      </c>
      <c r="AD214" s="219" t="s">
        <v>139</v>
      </c>
      <c r="AE214" s="210" t="s">
        <v>139</v>
      </c>
      <c r="AF214" s="232"/>
      <c r="AG214" s="230" t="s">
        <v>139</v>
      </c>
      <c r="AH214" s="230" t="s">
        <v>139</v>
      </c>
      <c r="AI214" s="232"/>
      <c r="AJ214" s="230" t="s">
        <v>104</v>
      </c>
      <c r="AK214" s="232"/>
      <c r="AL214" s="232"/>
      <c r="AM214" s="232"/>
      <c r="AN214" s="232"/>
      <c r="AO214" s="232"/>
      <c r="AP214" s="234"/>
      <c r="AQ214" s="232"/>
      <c r="AR214" s="232"/>
      <c r="AS214" s="232"/>
      <c r="AT214" s="232"/>
      <c r="AU214" s="232"/>
      <c r="AV214" s="232"/>
      <c r="AW214" s="232"/>
      <c r="AX214" s="233"/>
      <c r="AY214" s="232"/>
      <c r="AZ214" s="233"/>
      <c r="BA214" s="232"/>
      <c r="BB214" s="232"/>
      <c r="BC214" s="218" t="str">
        <f t="shared" si="22"/>
        <v/>
      </c>
      <c r="BD214" s="210" t="str">
        <f t="shared" si="20"/>
        <v>INDENIZAÇÃO</v>
      </c>
      <c r="BE214" s="210" t="str">
        <f t="shared" si="23"/>
        <v>NÃO</v>
      </c>
      <c r="BF214" s="210"/>
      <c r="BG214" s="210"/>
      <c r="BH214" s="210"/>
      <c r="BI214" s="210"/>
      <c r="BJ214" s="210"/>
      <c r="BK214" s="210"/>
      <c r="BL214" s="210"/>
      <c r="BM214" s="210"/>
      <c r="BN214" s="232"/>
      <c r="BO214" s="232"/>
      <c r="BP214" s="232"/>
      <c r="BQ214" s="232"/>
      <c r="BR214" s="232"/>
      <c r="BS214" s="232"/>
      <c r="BT214" s="232"/>
      <c r="BU214" s="232"/>
      <c r="BV214" s="232"/>
      <c r="BW214" s="232"/>
      <c r="BX214" s="232"/>
      <c r="BY214" s="232"/>
    </row>
    <row r="215" spans="1:77" ht="35.25" hidden="1" customHeight="1" x14ac:dyDescent="0.25">
      <c r="A215" s="210">
        <v>202</v>
      </c>
      <c r="B215" s="210" t="s">
        <v>99</v>
      </c>
      <c r="C215" s="210">
        <v>2</v>
      </c>
      <c r="D215" s="210">
        <v>0</v>
      </c>
      <c r="E215" s="210">
        <v>0</v>
      </c>
      <c r="F215" s="219" t="s">
        <v>1172</v>
      </c>
      <c r="G215" s="210" t="s">
        <v>1</v>
      </c>
      <c r="H215" s="210" t="s">
        <v>2</v>
      </c>
      <c r="I215" s="210" t="s">
        <v>139</v>
      </c>
      <c r="J215" s="219" t="s">
        <v>139</v>
      </c>
      <c r="K215" s="219" t="s">
        <v>139</v>
      </c>
      <c r="L215" s="219" t="s">
        <v>139</v>
      </c>
      <c r="M215" s="232"/>
      <c r="N215" s="232"/>
      <c r="O215" s="213">
        <v>45019</v>
      </c>
      <c r="P215" s="233"/>
      <c r="Q215" s="233"/>
      <c r="R215" s="233"/>
      <c r="S215" s="233"/>
      <c r="T215" s="213" t="s">
        <v>105</v>
      </c>
      <c r="U215" s="233"/>
      <c r="V215" s="233"/>
      <c r="W215" s="233"/>
      <c r="X215" s="233"/>
      <c r="Y215" s="233"/>
      <c r="Z215" s="233"/>
      <c r="AA215" s="232"/>
      <c r="AB215" s="219" t="s">
        <v>139</v>
      </c>
      <c r="AC215" s="219" t="s">
        <v>139</v>
      </c>
      <c r="AD215" s="219" t="s">
        <v>139</v>
      </c>
      <c r="AE215" s="210" t="s">
        <v>139</v>
      </c>
      <c r="AF215" s="232"/>
      <c r="AG215" s="230" t="s">
        <v>139</v>
      </c>
      <c r="AH215" s="230" t="s">
        <v>139</v>
      </c>
      <c r="AI215" s="232"/>
      <c r="AJ215" s="230" t="s">
        <v>104</v>
      </c>
      <c r="AK215" s="232"/>
      <c r="AL215" s="232"/>
      <c r="AM215" s="232"/>
      <c r="AN215" s="232"/>
      <c r="AO215" s="232"/>
      <c r="AP215" s="234"/>
      <c r="AQ215" s="232"/>
      <c r="AR215" s="232"/>
      <c r="AS215" s="232"/>
      <c r="AT215" s="232"/>
      <c r="AU215" s="232"/>
      <c r="AV215" s="232"/>
      <c r="AW215" s="232"/>
      <c r="AX215" s="233"/>
      <c r="AY215" s="232"/>
      <c r="AZ215" s="233"/>
      <c r="BA215" s="232"/>
      <c r="BB215" s="232"/>
      <c r="BC215" s="218" t="str">
        <f t="shared" si="22"/>
        <v/>
      </c>
      <c r="BD215" s="210" t="str">
        <f t="shared" si="20"/>
        <v>INDENIZAÇÃO</v>
      </c>
      <c r="BE215" s="210" t="str">
        <f t="shared" si="23"/>
        <v>NÃO</v>
      </c>
      <c r="BF215" s="210"/>
      <c r="BG215" s="210"/>
      <c r="BH215" s="210"/>
      <c r="BI215" s="210"/>
      <c r="BJ215" s="210"/>
      <c r="BK215" s="210"/>
      <c r="BL215" s="210"/>
      <c r="BM215" s="210"/>
      <c r="BN215" s="232"/>
      <c r="BO215" s="232"/>
      <c r="BP215" s="232"/>
      <c r="BQ215" s="232"/>
      <c r="BR215" s="232"/>
      <c r="BS215" s="232"/>
      <c r="BT215" s="232"/>
      <c r="BU215" s="232"/>
      <c r="BV215" s="232"/>
      <c r="BW215" s="232"/>
      <c r="BX215" s="232"/>
      <c r="BY215" s="232"/>
    </row>
    <row r="216" spans="1:77" ht="35.25" customHeight="1" x14ac:dyDescent="0.25">
      <c r="A216" s="210">
        <v>203</v>
      </c>
      <c r="B216" s="210" t="s">
        <v>99</v>
      </c>
      <c r="C216" s="220">
        <v>1</v>
      </c>
      <c r="D216" s="210">
        <v>0</v>
      </c>
      <c r="E216" s="210">
        <v>0</v>
      </c>
      <c r="F216" s="270" t="s">
        <v>1173</v>
      </c>
      <c r="G216" s="220" t="s">
        <v>1</v>
      </c>
      <c r="H216" s="220" t="s">
        <v>2</v>
      </c>
      <c r="I216" s="210" t="s">
        <v>12</v>
      </c>
      <c r="J216" s="270" t="s">
        <v>1174</v>
      </c>
      <c r="K216" s="270" t="s">
        <v>1175</v>
      </c>
      <c r="L216" s="270" t="s">
        <v>1176</v>
      </c>
      <c r="M216" s="220" t="s">
        <v>4</v>
      </c>
      <c r="N216" s="220" t="s">
        <v>5</v>
      </c>
      <c r="O216" s="213">
        <v>44900</v>
      </c>
      <c r="P216" s="213" t="s">
        <v>24</v>
      </c>
      <c r="Q216" s="213" t="s">
        <v>24</v>
      </c>
      <c r="R216" s="213" t="s">
        <v>24</v>
      </c>
      <c r="S216" s="213" t="s">
        <v>24</v>
      </c>
      <c r="T216" s="213" t="s">
        <v>24</v>
      </c>
      <c r="U216" s="213" t="s">
        <v>24</v>
      </c>
      <c r="V216" s="213" t="s">
        <v>24</v>
      </c>
      <c r="W216" s="213" t="s">
        <v>24</v>
      </c>
      <c r="X216" s="213" t="s">
        <v>24</v>
      </c>
      <c r="Y216" s="213" t="s">
        <v>24</v>
      </c>
      <c r="Z216" s="213" t="s">
        <v>24</v>
      </c>
      <c r="AA216" s="210"/>
      <c r="AB216" s="270" t="s">
        <v>1174</v>
      </c>
      <c r="AC216" s="270" t="s">
        <v>1175</v>
      </c>
      <c r="AD216" s="270" t="s">
        <v>1176</v>
      </c>
      <c r="AE216" s="220" t="s">
        <v>12</v>
      </c>
      <c r="AF216" s="210" t="s">
        <v>4</v>
      </c>
      <c r="AG216" s="291">
        <v>0</v>
      </c>
      <c r="AH216" s="291">
        <v>60000</v>
      </c>
      <c r="AI216" s="214" t="s">
        <v>6</v>
      </c>
      <c r="AJ216" s="230" t="s">
        <v>104</v>
      </c>
      <c r="AK216" s="210" t="s">
        <v>105</v>
      </c>
      <c r="AL216" s="210" t="s">
        <v>105</v>
      </c>
      <c r="AM216" s="210" t="s">
        <v>105</v>
      </c>
      <c r="AN216" s="210" t="s">
        <v>106</v>
      </c>
      <c r="AO216" s="210"/>
      <c r="AP216" s="219" t="s">
        <v>1177</v>
      </c>
      <c r="AQ216" s="210" t="s">
        <v>105</v>
      </c>
      <c r="AR216" s="210" t="s">
        <v>105</v>
      </c>
      <c r="AS216" s="210" t="s">
        <v>105</v>
      </c>
      <c r="AT216" s="210" t="s">
        <v>105</v>
      </c>
      <c r="AU216" s="213">
        <v>44922</v>
      </c>
      <c r="AV216" s="210" t="s">
        <v>105</v>
      </c>
      <c r="AW216" s="210" t="s">
        <v>105</v>
      </c>
      <c r="AX216" s="213">
        <v>44956</v>
      </c>
      <c r="AY216" s="213">
        <v>44956</v>
      </c>
      <c r="AZ216" s="233">
        <v>44971</v>
      </c>
      <c r="BA216" s="232" t="s">
        <v>30</v>
      </c>
      <c r="BB216" s="217" t="s">
        <v>105</v>
      </c>
      <c r="BC216" s="218">
        <f t="shared" si="22"/>
        <v>56</v>
      </c>
      <c r="BD216" s="210" t="str">
        <f t="shared" si="20"/>
        <v>INDENIZAÇÃO</v>
      </c>
      <c r="BE216" s="210" t="str">
        <f t="shared" si="23"/>
        <v>NÃO</v>
      </c>
      <c r="BF216" s="210" t="s">
        <v>24</v>
      </c>
      <c r="BG216" s="210" t="s">
        <v>24</v>
      </c>
      <c r="BH216" s="210" t="s">
        <v>24</v>
      </c>
      <c r="BI216" s="254" t="s">
        <v>105</v>
      </c>
      <c r="BJ216" s="254" t="s">
        <v>105</v>
      </c>
      <c r="BK216" s="253">
        <v>45190</v>
      </c>
      <c r="BL216" s="254" t="s">
        <v>105</v>
      </c>
      <c r="BM216" s="265" t="s">
        <v>105</v>
      </c>
      <c r="BN216" s="232"/>
      <c r="BO216" s="232"/>
      <c r="BP216" s="232"/>
      <c r="BQ216" s="232"/>
      <c r="BR216" s="232"/>
      <c r="BS216" s="232"/>
      <c r="BT216" s="232"/>
      <c r="BU216" s="232"/>
      <c r="BV216" s="232"/>
      <c r="BW216" s="232"/>
      <c r="BX216" s="232"/>
      <c r="BY216" s="232"/>
    </row>
    <row r="217" spans="1:77" ht="35.25" customHeight="1" x14ac:dyDescent="0.25">
      <c r="A217" s="210">
        <v>204</v>
      </c>
      <c r="B217" s="210" t="s">
        <v>99</v>
      </c>
      <c r="C217" s="220">
        <v>1</v>
      </c>
      <c r="D217" s="210">
        <v>0</v>
      </c>
      <c r="E217" s="210">
        <v>0</v>
      </c>
      <c r="F217" s="270" t="s">
        <v>1178</v>
      </c>
      <c r="G217" s="220" t="s">
        <v>1</v>
      </c>
      <c r="H217" s="220" t="s">
        <v>2</v>
      </c>
      <c r="I217" s="210" t="s">
        <v>12</v>
      </c>
      <c r="J217" s="270" t="s">
        <v>1179</v>
      </c>
      <c r="K217" s="270" t="s">
        <v>1180</v>
      </c>
      <c r="L217" s="270" t="s">
        <v>1181</v>
      </c>
      <c r="M217" s="220" t="s">
        <v>4</v>
      </c>
      <c r="N217" s="220" t="s">
        <v>5</v>
      </c>
      <c r="O217" s="213">
        <v>44900</v>
      </c>
      <c r="P217" s="213" t="s">
        <v>24</v>
      </c>
      <c r="Q217" s="213" t="s">
        <v>24</v>
      </c>
      <c r="R217" s="213" t="s">
        <v>24</v>
      </c>
      <c r="S217" s="213" t="s">
        <v>24</v>
      </c>
      <c r="T217" s="213" t="s">
        <v>24</v>
      </c>
      <c r="U217" s="213" t="s">
        <v>24</v>
      </c>
      <c r="V217" s="213" t="s">
        <v>24</v>
      </c>
      <c r="W217" s="213" t="s">
        <v>24</v>
      </c>
      <c r="X217" s="213" t="s">
        <v>24</v>
      </c>
      <c r="Y217" s="213" t="s">
        <v>24</v>
      </c>
      <c r="Z217" s="213" t="s">
        <v>24</v>
      </c>
      <c r="AA217" s="210"/>
      <c r="AB217" s="270" t="s">
        <v>1179</v>
      </c>
      <c r="AC217" s="270" t="s">
        <v>1180</v>
      </c>
      <c r="AD217" s="270" t="s">
        <v>1181</v>
      </c>
      <c r="AE217" s="220" t="s">
        <v>12</v>
      </c>
      <c r="AF217" s="210" t="s">
        <v>4</v>
      </c>
      <c r="AG217" s="291">
        <v>29300</v>
      </c>
      <c r="AH217" s="291">
        <v>59300</v>
      </c>
      <c r="AI217" s="214" t="s">
        <v>6</v>
      </c>
      <c r="AJ217" s="230" t="s">
        <v>104</v>
      </c>
      <c r="AK217" s="210" t="s">
        <v>105</v>
      </c>
      <c r="AL217" s="210" t="s">
        <v>105</v>
      </c>
      <c r="AM217" s="210" t="s">
        <v>105</v>
      </c>
      <c r="AN217" s="210" t="s">
        <v>106</v>
      </c>
      <c r="AO217" s="210"/>
      <c r="AP217" s="219" t="s">
        <v>1182</v>
      </c>
      <c r="AQ217" s="210" t="s">
        <v>105</v>
      </c>
      <c r="AR217" s="210" t="s">
        <v>105</v>
      </c>
      <c r="AS217" s="210" t="s">
        <v>105</v>
      </c>
      <c r="AT217" s="210" t="s">
        <v>105</v>
      </c>
      <c r="AU217" s="213">
        <v>44922</v>
      </c>
      <c r="AV217" s="210" t="s">
        <v>105</v>
      </c>
      <c r="AW217" s="210" t="s">
        <v>105</v>
      </c>
      <c r="AX217" s="213">
        <v>44924</v>
      </c>
      <c r="AY217" s="213">
        <v>44924</v>
      </c>
      <c r="AZ217" s="233">
        <v>44942</v>
      </c>
      <c r="BA217" s="232" t="s">
        <v>30</v>
      </c>
      <c r="BB217" s="217" t="s">
        <v>105</v>
      </c>
      <c r="BC217" s="218">
        <f t="shared" si="22"/>
        <v>24</v>
      </c>
      <c r="BD217" s="210" t="str">
        <f t="shared" si="20"/>
        <v>INDENIZAÇÃO</v>
      </c>
      <c r="BE217" s="210" t="str">
        <f t="shared" si="23"/>
        <v>NÃO</v>
      </c>
      <c r="BF217" s="210" t="s">
        <v>24</v>
      </c>
      <c r="BG217" s="210" t="s">
        <v>24</v>
      </c>
      <c r="BH217" s="210" t="s">
        <v>24</v>
      </c>
      <c r="BI217" s="210" t="s">
        <v>105</v>
      </c>
      <c r="BJ217" s="210" t="s">
        <v>105</v>
      </c>
      <c r="BK217" s="253">
        <v>45190</v>
      </c>
      <c r="BL217" s="210" t="s">
        <v>105</v>
      </c>
      <c r="BM217" s="265" t="s">
        <v>105</v>
      </c>
      <c r="BN217" s="232"/>
      <c r="BO217" s="232"/>
      <c r="BP217" s="232"/>
      <c r="BQ217" s="232"/>
      <c r="BR217" s="232"/>
      <c r="BS217" s="232"/>
      <c r="BT217" s="232"/>
      <c r="BU217" s="232"/>
      <c r="BV217" s="232"/>
      <c r="BW217" s="232"/>
      <c r="BX217" s="232"/>
      <c r="BY217" s="232"/>
    </row>
    <row r="218" spans="1:77" ht="35.25" customHeight="1" x14ac:dyDescent="0.25">
      <c r="A218" s="210">
        <v>205</v>
      </c>
      <c r="B218" s="210" t="s">
        <v>99</v>
      </c>
      <c r="C218" s="220">
        <v>1</v>
      </c>
      <c r="D218" s="210">
        <v>0</v>
      </c>
      <c r="E218" s="210">
        <v>0</v>
      </c>
      <c r="F218" s="270" t="s">
        <v>1183</v>
      </c>
      <c r="G218" s="220" t="s">
        <v>1</v>
      </c>
      <c r="H218" s="220" t="s">
        <v>2</v>
      </c>
      <c r="I218" s="210" t="s">
        <v>12</v>
      </c>
      <c r="J218" s="270" t="s">
        <v>1184</v>
      </c>
      <c r="K218" s="270" t="s">
        <v>1185</v>
      </c>
      <c r="L218" s="270" t="s">
        <v>1186</v>
      </c>
      <c r="M218" s="220" t="s">
        <v>4</v>
      </c>
      <c r="N218" s="220" t="s">
        <v>5</v>
      </c>
      <c r="O218" s="213">
        <v>44900</v>
      </c>
      <c r="P218" s="213" t="s">
        <v>24</v>
      </c>
      <c r="Q218" s="213" t="s">
        <v>24</v>
      </c>
      <c r="R218" s="213" t="s">
        <v>24</v>
      </c>
      <c r="S218" s="213" t="s">
        <v>24</v>
      </c>
      <c r="T218" s="213" t="s">
        <v>24</v>
      </c>
      <c r="U218" s="213" t="s">
        <v>24</v>
      </c>
      <c r="V218" s="213" t="s">
        <v>24</v>
      </c>
      <c r="W218" s="213" t="s">
        <v>24</v>
      </c>
      <c r="X218" s="213" t="s">
        <v>24</v>
      </c>
      <c r="Y218" s="213" t="s">
        <v>24</v>
      </c>
      <c r="Z218" s="213" t="s">
        <v>24</v>
      </c>
      <c r="AA218" s="210"/>
      <c r="AB218" s="270" t="s">
        <v>1184</v>
      </c>
      <c r="AC218" s="270" t="s">
        <v>1185</v>
      </c>
      <c r="AD218" s="270" t="s">
        <v>1186</v>
      </c>
      <c r="AE218" s="220" t="s">
        <v>12</v>
      </c>
      <c r="AF218" s="210" t="s">
        <v>4</v>
      </c>
      <c r="AG218" s="291">
        <v>229800</v>
      </c>
      <c r="AH218" s="291">
        <v>229800</v>
      </c>
      <c r="AI218" s="214" t="s">
        <v>6</v>
      </c>
      <c r="AJ218" s="230" t="s">
        <v>104</v>
      </c>
      <c r="AK218" s="210" t="s">
        <v>105</v>
      </c>
      <c r="AL218" s="210" t="s">
        <v>105</v>
      </c>
      <c r="AM218" s="210" t="s">
        <v>105</v>
      </c>
      <c r="AN218" s="210" t="s">
        <v>106</v>
      </c>
      <c r="AO218" s="210"/>
      <c r="AP218" s="219" t="s">
        <v>1187</v>
      </c>
      <c r="AQ218" s="210" t="s">
        <v>105</v>
      </c>
      <c r="AR218" s="210" t="s">
        <v>105</v>
      </c>
      <c r="AS218" s="210" t="s">
        <v>105</v>
      </c>
      <c r="AT218" s="210" t="s">
        <v>105</v>
      </c>
      <c r="AU218" s="213">
        <v>45014</v>
      </c>
      <c r="AV218" s="210" t="s">
        <v>105</v>
      </c>
      <c r="AW218" s="210" t="s">
        <v>105</v>
      </c>
      <c r="AX218" s="213">
        <v>45022</v>
      </c>
      <c r="AY218" s="213">
        <v>45034</v>
      </c>
      <c r="AZ218" s="229" t="s">
        <v>1188</v>
      </c>
      <c r="BA218" s="216" t="s">
        <v>502</v>
      </c>
      <c r="BB218" s="217" t="s">
        <v>105</v>
      </c>
      <c r="BC218" s="218">
        <f t="shared" si="22"/>
        <v>134</v>
      </c>
      <c r="BD218" s="210" t="str">
        <f t="shared" si="20"/>
        <v>INDENIZAÇÃO</v>
      </c>
      <c r="BE218" s="210" t="str">
        <f t="shared" si="23"/>
        <v>NÃO</v>
      </c>
      <c r="BF218" s="210" t="s">
        <v>24</v>
      </c>
      <c r="BG218" s="210" t="s">
        <v>24</v>
      </c>
      <c r="BH218" s="210" t="s">
        <v>24</v>
      </c>
      <c r="BI218" s="210" t="s">
        <v>105</v>
      </c>
      <c r="BJ218" s="210" t="s">
        <v>105</v>
      </c>
      <c r="BK218" s="253">
        <v>45190</v>
      </c>
      <c r="BL218" s="210" t="s">
        <v>105</v>
      </c>
      <c r="BM218" s="266" t="s">
        <v>105</v>
      </c>
      <c r="BN218" s="232"/>
      <c r="BO218" s="232"/>
      <c r="BP218" s="232"/>
      <c r="BQ218" s="232"/>
      <c r="BR218" s="232"/>
      <c r="BS218" s="232"/>
      <c r="BT218" s="232"/>
      <c r="BU218" s="232"/>
      <c r="BV218" s="232"/>
      <c r="BW218" s="232"/>
      <c r="BX218" s="232"/>
      <c r="BY218" s="232"/>
    </row>
    <row r="219" spans="1:77" ht="35.25" hidden="1" customHeight="1" x14ac:dyDescent="0.25">
      <c r="A219" s="210">
        <v>206</v>
      </c>
      <c r="B219" s="210" t="s">
        <v>99</v>
      </c>
      <c r="C219" s="210">
        <v>1</v>
      </c>
      <c r="D219" s="210">
        <v>0</v>
      </c>
      <c r="E219" s="210">
        <v>0</v>
      </c>
      <c r="F219" s="219" t="s">
        <v>1189</v>
      </c>
      <c r="G219" s="210" t="s">
        <v>138</v>
      </c>
      <c r="H219" s="210" t="s">
        <v>2</v>
      </c>
      <c r="I219" s="210" t="s">
        <v>3</v>
      </c>
      <c r="J219" s="219" t="s">
        <v>1184</v>
      </c>
      <c r="K219" s="219" t="s">
        <v>1190</v>
      </c>
      <c r="L219" s="219" t="s">
        <v>1186</v>
      </c>
      <c r="M219" s="232" t="s">
        <v>4</v>
      </c>
      <c r="N219" s="232" t="s">
        <v>312</v>
      </c>
      <c r="O219" s="213">
        <v>44900</v>
      </c>
      <c r="P219" s="229" t="s">
        <v>24</v>
      </c>
      <c r="Q219" s="213" t="s">
        <v>24</v>
      </c>
      <c r="R219" s="213" t="s">
        <v>24</v>
      </c>
      <c r="S219" s="213" t="s">
        <v>24</v>
      </c>
      <c r="T219" s="213" t="s">
        <v>24</v>
      </c>
      <c r="U219" s="213" t="s">
        <v>24</v>
      </c>
      <c r="V219" s="213" t="s">
        <v>24</v>
      </c>
      <c r="W219" s="213" t="s">
        <v>24</v>
      </c>
      <c r="X219" s="213" t="s">
        <v>24</v>
      </c>
      <c r="Y219" s="213" t="s">
        <v>24</v>
      </c>
      <c r="Z219" s="213" t="s">
        <v>24</v>
      </c>
      <c r="AA219" s="210"/>
      <c r="AB219" s="219" t="s">
        <v>1184</v>
      </c>
      <c r="AC219" s="219" t="s">
        <v>1190</v>
      </c>
      <c r="AD219" s="219" t="s">
        <v>1186</v>
      </c>
      <c r="AE219" s="210" t="s">
        <v>3</v>
      </c>
      <c r="AF219" s="210" t="s">
        <v>24</v>
      </c>
      <c r="AG219" s="230">
        <v>27200</v>
      </c>
      <c r="AH219" s="230">
        <v>57200</v>
      </c>
      <c r="AI219" s="214" t="s">
        <v>1191</v>
      </c>
      <c r="AJ219" s="230" t="s">
        <v>104</v>
      </c>
      <c r="AK219" s="210" t="s">
        <v>24</v>
      </c>
      <c r="AL219" s="210" t="s">
        <v>24</v>
      </c>
      <c r="AM219" s="210" t="s">
        <v>24</v>
      </c>
      <c r="AN219" s="210" t="s">
        <v>24</v>
      </c>
      <c r="AO219" s="214" t="s">
        <v>1191</v>
      </c>
      <c r="AP219" s="219" t="s">
        <v>24</v>
      </c>
      <c r="AQ219" s="210" t="s">
        <v>24</v>
      </c>
      <c r="AR219" s="210" t="s">
        <v>24</v>
      </c>
      <c r="AS219" s="210" t="s">
        <v>24</v>
      </c>
      <c r="AT219" s="210" t="s">
        <v>24</v>
      </c>
      <c r="AU219" s="210" t="s">
        <v>24</v>
      </c>
      <c r="AV219" s="210" t="s">
        <v>24</v>
      </c>
      <c r="AW219" s="210" t="s">
        <v>24</v>
      </c>
      <c r="AX219" s="210" t="s">
        <v>24</v>
      </c>
      <c r="AY219" s="210" t="s">
        <v>24</v>
      </c>
      <c r="AZ219" s="229" t="s">
        <v>1188</v>
      </c>
      <c r="BA219" s="216" t="s">
        <v>502</v>
      </c>
      <c r="BB219" s="217" t="s">
        <v>105</v>
      </c>
      <c r="BC219" s="218" t="s">
        <v>24</v>
      </c>
      <c r="BD219" s="210" t="str">
        <f t="shared" ref="BD219:BD250" si="24">IF(AND(AI219&lt;&gt;"SIM",AI219="UH"),"AA","INDENIZAÇÃO")</f>
        <v>INDENIZAÇÃO</v>
      </c>
      <c r="BE219" s="210" t="str">
        <f t="shared" si="23"/>
        <v>NÃO</v>
      </c>
      <c r="BF219" s="210" t="s">
        <v>24</v>
      </c>
      <c r="BG219" s="210" t="s">
        <v>24</v>
      </c>
      <c r="BH219" s="210" t="s">
        <v>24</v>
      </c>
      <c r="BI219" s="210" t="s">
        <v>24</v>
      </c>
      <c r="BJ219" s="210" t="s">
        <v>24</v>
      </c>
      <c r="BK219" s="210" t="s">
        <v>24</v>
      </c>
      <c r="BL219" s="210" t="s">
        <v>24</v>
      </c>
      <c r="BM219" s="210" t="s">
        <v>105</v>
      </c>
      <c r="BN219" s="232"/>
      <c r="BO219" s="232"/>
      <c r="BP219" s="232"/>
      <c r="BQ219" s="232"/>
      <c r="BR219" s="232"/>
      <c r="BS219" s="232"/>
      <c r="BT219" s="232"/>
      <c r="BU219" s="232"/>
      <c r="BV219" s="232"/>
      <c r="BW219" s="232"/>
      <c r="BX219" s="232"/>
      <c r="BY219" s="232"/>
    </row>
    <row r="220" spans="1:77" ht="35.25" customHeight="1" x14ac:dyDescent="0.25">
      <c r="A220" s="210">
        <v>207</v>
      </c>
      <c r="B220" s="210" t="s">
        <v>99</v>
      </c>
      <c r="C220" s="210">
        <v>1</v>
      </c>
      <c r="D220" s="210">
        <v>0</v>
      </c>
      <c r="E220" s="210">
        <v>0</v>
      </c>
      <c r="F220" s="219" t="s">
        <v>1192</v>
      </c>
      <c r="G220" s="210" t="s">
        <v>1193</v>
      </c>
      <c r="H220" s="210" t="s">
        <v>2</v>
      </c>
      <c r="I220" s="210" t="s">
        <v>3</v>
      </c>
      <c r="J220" s="219" t="s">
        <v>1194</v>
      </c>
      <c r="K220" s="348" t="s">
        <v>1195</v>
      </c>
      <c r="L220" s="348" t="s">
        <v>1196</v>
      </c>
      <c r="M220" s="220" t="s">
        <v>4</v>
      </c>
      <c r="N220" s="232" t="s">
        <v>1197</v>
      </c>
      <c r="O220" s="213">
        <v>45525</v>
      </c>
      <c r="P220" s="229" t="s">
        <v>24</v>
      </c>
      <c r="Q220" s="213" t="s">
        <v>24</v>
      </c>
      <c r="R220" s="213" t="s">
        <v>24</v>
      </c>
      <c r="S220" s="213" t="s">
        <v>24</v>
      </c>
      <c r="T220" s="213" t="s">
        <v>24</v>
      </c>
      <c r="U220" s="213" t="s">
        <v>24</v>
      </c>
      <c r="V220" s="213" t="s">
        <v>24</v>
      </c>
      <c r="W220" s="213" t="s">
        <v>24</v>
      </c>
      <c r="X220" s="213" t="s">
        <v>24</v>
      </c>
      <c r="Y220" s="213" t="s">
        <v>24</v>
      </c>
      <c r="Z220" s="213" t="s">
        <v>24</v>
      </c>
      <c r="AA220" s="210"/>
      <c r="AB220" s="219" t="s">
        <v>1194</v>
      </c>
      <c r="AC220" s="348" t="s">
        <v>1195</v>
      </c>
      <c r="AD220" s="348" t="s">
        <v>1196</v>
      </c>
      <c r="AE220" s="210" t="s">
        <v>3</v>
      </c>
      <c r="AF220" s="210" t="s">
        <v>529</v>
      </c>
      <c r="AG220" s="230">
        <f>AH220-30000</f>
        <v>13531.800000000003</v>
      </c>
      <c r="AH220" s="230">
        <v>43531.8</v>
      </c>
      <c r="AI220" s="214" t="s">
        <v>6</v>
      </c>
      <c r="AJ220" s="230" t="s">
        <v>104</v>
      </c>
      <c r="AK220" s="210" t="s">
        <v>105</v>
      </c>
      <c r="AL220" s="210" t="s">
        <v>105</v>
      </c>
      <c r="AM220" s="210" t="s">
        <v>105</v>
      </c>
      <c r="AN220" s="232" t="s">
        <v>106</v>
      </c>
      <c r="AO220" s="210"/>
      <c r="AP220" s="219" t="s">
        <v>1198</v>
      </c>
      <c r="AQ220" s="210" t="s">
        <v>105</v>
      </c>
      <c r="AR220" s="210" t="s">
        <v>105</v>
      </c>
      <c r="AS220" s="210" t="s">
        <v>105</v>
      </c>
      <c r="AT220" s="210" t="s">
        <v>105</v>
      </c>
      <c r="AU220" s="213">
        <v>45755</v>
      </c>
      <c r="AV220" s="210" t="s">
        <v>105</v>
      </c>
      <c r="AW220" s="210" t="s">
        <v>105</v>
      </c>
      <c r="AX220" s="213">
        <v>45763</v>
      </c>
      <c r="AY220" s="221">
        <v>45763</v>
      </c>
      <c r="AZ220" s="235" t="s">
        <v>220</v>
      </c>
      <c r="BA220" s="235" t="s">
        <v>502</v>
      </c>
      <c r="BB220" s="210" t="s">
        <v>105</v>
      </c>
      <c r="BC220" s="218">
        <f t="shared" ref="BC220:BC253" si="25">IF(AY220-ON220=0,"",AY220-O220)</f>
        <v>238</v>
      </c>
      <c r="BD220" s="210" t="str">
        <f t="shared" si="24"/>
        <v>INDENIZAÇÃO</v>
      </c>
      <c r="BE220" s="210" t="str">
        <f t="shared" si="23"/>
        <v>NÃO</v>
      </c>
      <c r="BF220" s="210" t="s">
        <v>24</v>
      </c>
      <c r="BG220" s="210" t="s">
        <v>24</v>
      </c>
      <c r="BH220" s="210" t="s">
        <v>24</v>
      </c>
      <c r="BI220" s="232" t="s">
        <v>105</v>
      </c>
      <c r="BJ220" s="232" t="s">
        <v>105</v>
      </c>
      <c r="BK220" s="213">
        <v>45783</v>
      </c>
      <c r="BL220" s="232" t="s">
        <v>105</v>
      </c>
      <c r="BM220" s="241" t="s">
        <v>220</v>
      </c>
      <c r="BN220" s="232"/>
      <c r="BO220" s="232"/>
      <c r="BP220" s="232"/>
      <c r="BQ220" s="232"/>
      <c r="BR220" s="232"/>
      <c r="BS220" s="232"/>
      <c r="BT220" s="232"/>
      <c r="BU220" s="232"/>
      <c r="BV220" s="232"/>
      <c r="BW220" s="232"/>
      <c r="BX220" s="232"/>
      <c r="BY220" s="232"/>
    </row>
    <row r="221" spans="1:77" ht="35.25" customHeight="1" x14ac:dyDescent="0.25">
      <c r="A221" s="210">
        <v>208</v>
      </c>
      <c r="B221" s="210" t="s">
        <v>99</v>
      </c>
      <c r="C221" s="210">
        <v>1</v>
      </c>
      <c r="D221" s="210">
        <v>0</v>
      </c>
      <c r="E221" s="210">
        <v>0</v>
      </c>
      <c r="F221" s="219" t="s">
        <v>1199</v>
      </c>
      <c r="G221" s="210" t="s">
        <v>1</v>
      </c>
      <c r="H221" s="210" t="s">
        <v>2</v>
      </c>
      <c r="I221" s="210" t="s">
        <v>12</v>
      </c>
      <c r="J221" s="219" t="s">
        <v>1200</v>
      </c>
      <c r="K221" s="219" t="s">
        <v>1201</v>
      </c>
      <c r="L221" s="219" t="s">
        <v>1202</v>
      </c>
      <c r="M221" s="220" t="s">
        <v>4</v>
      </c>
      <c r="N221" s="220" t="s">
        <v>5</v>
      </c>
      <c r="O221" s="213">
        <v>44900</v>
      </c>
      <c r="P221" s="213" t="s">
        <v>24</v>
      </c>
      <c r="Q221" s="213" t="s">
        <v>24</v>
      </c>
      <c r="R221" s="213" t="s">
        <v>24</v>
      </c>
      <c r="S221" s="213" t="s">
        <v>24</v>
      </c>
      <c r="T221" s="213" t="s">
        <v>24</v>
      </c>
      <c r="U221" s="213" t="s">
        <v>24</v>
      </c>
      <c r="V221" s="213" t="s">
        <v>24</v>
      </c>
      <c r="W221" s="213" t="s">
        <v>24</v>
      </c>
      <c r="X221" s="213" t="s">
        <v>24</v>
      </c>
      <c r="Y221" s="213" t="s">
        <v>24</v>
      </c>
      <c r="Z221" s="213" t="s">
        <v>24</v>
      </c>
      <c r="AA221" s="210"/>
      <c r="AB221" s="219" t="s">
        <v>1200</v>
      </c>
      <c r="AC221" s="219" t="s">
        <v>1201</v>
      </c>
      <c r="AD221" s="219" t="s">
        <v>1202</v>
      </c>
      <c r="AE221" s="220" t="s">
        <v>12</v>
      </c>
      <c r="AF221" s="210" t="s">
        <v>4</v>
      </c>
      <c r="AG221" s="230">
        <v>1400</v>
      </c>
      <c r="AH221" s="230">
        <v>31400</v>
      </c>
      <c r="AI221" s="214" t="s">
        <v>6</v>
      </c>
      <c r="AJ221" s="230" t="s">
        <v>104</v>
      </c>
      <c r="AK221" s="210" t="s">
        <v>105</v>
      </c>
      <c r="AL221" s="210" t="s">
        <v>105</v>
      </c>
      <c r="AM221" s="210" t="s">
        <v>105</v>
      </c>
      <c r="AN221" s="210" t="s">
        <v>106</v>
      </c>
      <c r="AO221" s="279"/>
      <c r="AP221" s="219" t="s">
        <v>1203</v>
      </c>
      <c r="AQ221" s="210" t="s">
        <v>105</v>
      </c>
      <c r="AR221" s="210" t="s">
        <v>105</v>
      </c>
      <c r="AS221" s="210" t="s">
        <v>105</v>
      </c>
      <c r="AT221" s="210" t="s">
        <v>105</v>
      </c>
      <c r="AU221" s="213">
        <v>44966</v>
      </c>
      <c r="AV221" s="210" t="s">
        <v>105</v>
      </c>
      <c r="AW221" s="210" t="s">
        <v>105</v>
      </c>
      <c r="AX221" s="213">
        <v>45012</v>
      </c>
      <c r="AY221" s="213">
        <v>45012</v>
      </c>
      <c r="AZ221" s="233">
        <v>45042</v>
      </c>
      <c r="BA221" s="232" t="s">
        <v>30</v>
      </c>
      <c r="BB221" s="217" t="s">
        <v>105</v>
      </c>
      <c r="BC221" s="218">
        <f t="shared" si="25"/>
        <v>112</v>
      </c>
      <c r="BD221" s="210" t="str">
        <f t="shared" si="24"/>
        <v>INDENIZAÇÃO</v>
      </c>
      <c r="BE221" s="210" t="str">
        <f t="shared" si="23"/>
        <v>NÃO</v>
      </c>
      <c r="BF221" s="210" t="s">
        <v>24</v>
      </c>
      <c r="BG221" s="210" t="s">
        <v>24</v>
      </c>
      <c r="BH221" s="210" t="s">
        <v>24</v>
      </c>
      <c r="BI221" s="254" t="s">
        <v>105</v>
      </c>
      <c r="BJ221" s="254" t="s">
        <v>105</v>
      </c>
      <c r="BK221" s="253">
        <v>45190</v>
      </c>
      <c r="BL221" s="254" t="s">
        <v>105</v>
      </c>
      <c r="BM221" s="266" t="s">
        <v>105</v>
      </c>
      <c r="BN221" s="232"/>
      <c r="BO221" s="232"/>
      <c r="BP221" s="232"/>
      <c r="BQ221" s="232"/>
      <c r="BR221" s="232"/>
      <c r="BS221" s="232"/>
      <c r="BT221" s="232"/>
      <c r="BU221" s="232"/>
      <c r="BV221" s="232"/>
      <c r="BW221" s="232"/>
      <c r="BX221" s="232"/>
      <c r="BY221" s="232"/>
    </row>
    <row r="222" spans="1:77" ht="35.25" hidden="1" customHeight="1" x14ac:dyDescent="0.25">
      <c r="A222" s="210">
        <v>209</v>
      </c>
      <c r="B222" s="210" t="s">
        <v>99</v>
      </c>
      <c r="C222" s="220">
        <v>1</v>
      </c>
      <c r="D222" s="210">
        <v>0</v>
      </c>
      <c r="E222" s="210">
        <v>0</v>
      </c>
      <c r="F222" s="270" t="s">
        <v>1204</v>
      </c>
      <c r="G222" s="220" t="s">
        <v>1</v>
      </c>
      <c r="H222" s="220" t="s">
        <v>2</v>
      </c>
      <c r="I222" s="210" t="s">
        <v>12</v>
      </c>
      <c r="J222" s="270" t="s">
        <v>1205</v>
      </c>
      <c r="K222" s="270" t="s">
        <v>1206</v>
      </c>
      <c r="L222" s="270" t="s">
        <v>1207</v>
      </c>
      <c r="M222" s="220" t="s">
        <v>4</v>
      </c>
      <c r="N222" s="220" t="s">
        <v>14</v>
      </c>
      <c r="O222" s="213">
        <v>44900</v>
      </c>
      <c r="P222" s="213">
        <v>44921</v>
      </c>
      <c r="Q222" s="213" t="s">
        <v>114</v>
      </c>
      <c r="R222" s="213" t="s">
        <v>105</v>
      </c>
      <c r="S222" s="213" t="s">
        <v>105</v>
      </c>
      <c r="T222" s="213" t="s">
        <v>105</v>
      </c>
      <c r="U222" s="213">
        <v>44992</v>
      </c>
      <c r="V222" s="213" t="s">
        <v>105</v>
      </c>
      <c r="W222" s="213">
        <v>44992</v>
      </c>
      <c r="X222" s="213">
        <v>45019</v>
      </c>
      <c r="Y222" s="213">
        <v>45019</v>
      </c>
      <c r="Z222" s="233">
        <v>45042</v>
      </c>
      <c r="AA222" s="210" t="s">
        <v>115</v>
      </c>
      <c r="AB222" s="270" t="s">
        <v>1205</v>
      </c>
      <c r="AC222" s="270" t="s">
        <v>1206</v>
      </c>
      <c r="AD222" s="270" t="s">
        <v>1207</v>
      </c>
      <c r="AE222" s="220" t="s">
        <v>12</v>
      </c>
      <c r="AF222" s="210" t="s">
        <v>4</v>
      </c>
      <c r="AG222" s="291">
        <v>900</v>
      </c>
      <c r="AH222" s="291">
        <v>30900</v>
      </c>
      <c r="AI222" s="214" t="s">
        <v>23</v>
      </c>
      <c r="AJ222" s="230" t="s">
        <v>104</v>
      </c>
      <c r="AK222" s="210" t="s">
        <v>105</v>
      </c>
      <c r="AL222" s="210" t="s">
        <v>24</v>
      </c>
      <c r="AM222" s="210" t="s">
        <v>24</v>
      </c>
      <c r="AN222" s="210" t="s">
        <v>24</v>
      </c>
      <c r="AO222" s="210"/>
      <c r="AP222" s="219" t="s">
        <v>24</v>
      </c>
      <c r="AQ222" s="210" t="s">
        <v>24</v>
      </c>
      <c r="AR222" s="210" t="s">
        <v>24</v>
      </c>
      <c r="AS222" s="210" t="s">
        <v>24</v>
      </c>
      <c r="AT222" s="210" t="s">
        <v>24</v>
      </c>
      <c r="AU222" s="210" t="s">
        <v>24</v>
      </c>
      <c r="AV222" s="210" t="s">
        <v>24</v>
      </c>
      <c r="AW222" s="210" t="s">
        <v>24</v>
      </c>
      <c r="AX222" s="213">
        <v>45019</v>
      </c>
      <c r="AY222" s="213">
        <v>45069</v>
      </c>
      <c r="AZ222" s="233">
        <v>45042</v>
      </c>
      <c r="BA222" s="232" t="s">
        <v>30</v>
      </c>
      <c r="BB222" s="217" t="s">
        <v>105</v>
      </c>
      <c r="BC222" s="218">
        <f t="shared" si="25"/>
        <v>169</v>
      </c>
      <c r="BD222" s="210" t="str">
        <f t="shared" si="24"/>
        <v>AA</v>
      </c>
      <c r="BE222" s="210" t="str">
        <f t="shared" si="23"/>
        <v>NÃO</v>
      </c>
      <c r="BF222" s="210" t="s">
        <v>24</v>
      </c>
      <c r="BG222" s="210" t="s">
        <v>24</v>
      </c>
      <c r="BH222" s="210" t="s">
        <v>24</v>
      </c>
      <c r="BI222" s="210" t="s">
        <v>24</v>
      </c>
      <c r="BJ222" s="210" t="s">
        <v>24</v>
      </c>
      <c r="BK222" s="210" t="s">
        <v>24</v>
      </c>
      <c r="BL222" s="210" t="s">
        <v>24</v>
      </c>
      <c r="BM222" s="265" t="s">
        <v>105</v>
      </c>
      <c r="BN222" s="232"/>
      <c r="BO222" s="232"/>
      <c r="BP222" s="232"/>
      <c r="BQ222" s="232"/>
      <c r="BR222" s="232"/>
      <c r="BS222" s="232"/>
      <c r="BT222" s="232"/>
      <c r="BU222" s="232"/>
      <c r="BV222" s="232"/>
      <c r="BW222" s="232"/>
      <c r="BX222" s="232"/>
      <c r="BY222" s="232"/>
    </row>
    <row r="223" spans="1:77" ht="35.25" hidden="1" customHeight="1" x14ac:dyDescent="0.25">
      <c r="A223" s="210">
        <v>210</v>
      </c>
      <c r="B223" s="210" t="s">
        <v>99</v>
      </c>
      <c r="C223" s="210">
        <v>1</v>
      </c>
      <c r="D223" s="210">
        <v>0</v>
      </c>
      <c r="E223" s="210">
        <v>0</v>
      </c>
      <c r="F223" s="219" t="s">
        <v>1208</v>
      </c>
      <c r="G223" s="210" t="s">
        <v>1</v>
      </c>
      <c r="H223" s="210" t="s">
        <v>2</v>
      </c>
      <c r="I223" s="210" t="s">
        <v>12</v>
      </c>
      <c r="J223" s="219" t="s">
        <v>1209</v>
      </c>
      <c r="K223" s="219" t="s">
        <v>139</v>
      </c>
      <c r="L223" s="219" t="s">
        <v>139</v>
      </c>
      <c r="M223" s="210" t="s">
        <v>17</v>
      </c>
      <c r="N223" s="210" t="s">
        <v>17</v>
      </c>
      <c r="O223" s="213">
        <v>44900</v>
      </c>
      <c r="P223" s="213" t="s">
        <v>139</v>
      </c>
      <c r="Q223" s="213"/>
      <c r="R223" s="213"/>
      <c r="S223" s="213"/>
      <c r="T223" s="213" t="s">
        <v>105</v>
      </c>
      <c r="U223" s="213"/>
      <c r="V223" s="213"/>
      <c r="W223" s="213"/>
      <c r="X223" s="213"/>
      <c r="Y223" s="213"/>
      <c r="Z223" s="213"/>
      <c r="AA223" s="225" t="s">
        <v>1210</v>
      </c>
      <c r="AB223" s="280" t="s">
        <v>1209</v>
      </c>
      <c r="AC223" s="280" t="s">
        <v>139</v>
      </c>
      <c r="AD223" s="280" t="s">
        <v>139</v>
      </c>
      <c r="AE223" s="220" t="s">
        <v>12</v>
      </c>
      <c r="AF223" s="210" t="s">
        <v>139</v>
      </c>
      <c r="AG223" s="230" t="s">
        <v>139</v>
      </c>
      <c r="AH223" s="230" t="s">
        <v>139</v>
      </c>
      <c r="AI223" s="214"/>
      <c r="AJ223" s="230" t="s">
        <v>104</v>
      </c>
      <c r="AK223" s="210"/>
      <c r="AL223" s="210"/>
      <c r="AM223" s="210"/>
      <c r="AN223" s="210"/>
      <c r="AO223" s="225" t="s">
        <v>1210</v>
      </c>
      <c r="AP223" s="219"/>
      <c r="AQ223" s="210"/>
      <c r="AR223" s="210"/>
      <c r="AS223" s="210"/>
      <c r="AT223" s="210"/>
      <c r="AU223" s="210"/>
      <c r="AV223" s="210"/>
      <c r="AW223" s="210"/>
      <c r="AX223" s="213"/>
      <c r="AY223" s="224"/>
      <c r="AZ223" s="233">
        <v>45042</v>
      </c>
      <c r="BA223" s="232" t="s">
        <v>30</v>
      </c>
      <c r="BB223" s="225" t="s">
        <v>1210</v>
      </c>
      <c r="BC223" s="218" t="str">
        <f t="shared" si="25"/>
        <v/>
      </c>
      <c r="BD223" s="210" t="str">
        <f t="shared" si="24"/>
        <v>INDENIZAÇÃO</v>
      </c>
      <c r="BE223" s="210" t="str">
        <f t="shared" si="23"/>
        <v>NÃO</v>
      </c>
      <c r="BF223" s="210"/>
      <c r="BG223" s="210"/>
      <c r="BH223" s="210"/>
      <c r="BI223" s="210"/>
      <c r="BJ223" s="210"/>
      <c r="BK223" s="210"/>
      <c r="BL223" s="210"/>
      <c r="BM223" s="210"/>
      <c r="BN223" s="232"/>
      <c r="BO223" s="232"/>
      <c r="BP223" s="232"/>
      <c r="BQ223" s="232"/>
      <c r="BR223" s="232"/>
      <c r="BS223" s="232"/>
      <c r="BT223" s="232"/>
      <c r="BU223" s="232"/>
      <c r="BV223" s="232"/>
      <c r="BW223" s="232"/>
      <c r="BX223" s="232"/>
      <c r="BY223" s="232"/>
    </row>
    <row r="224" spans="1:77" ht="35.25" hidden="1" customHeight="1" x14ac:dyDescent="0.25">
      <c r="A224" s="210">
        <v>211</v>
      </c>
      <c r="B224" s="210" t="s">
        <v>99</v>
      </c>
      <c r="C224" s="220">
        <v>1</v>
      </c>
      <c r="D224" s="210">
        <v>0</v>
      </c>
      <c r="E224" s="210">
        <v>0</v>
      </c>
      <c r="F224" s="270" t="s">
        <v>1211</v>
      </c>
      <c r="G224" s="220" t="s">
        <v>1</v>
      </c>
      <c r="H224" s="220" t="s">
        <v>2</v>
      </c>
      <c r="I224" s="210" t="s">
        <v>12</v>
      </c>
      <c r="J224" s="270" t="s">
        <v>1212</v>
      </c>
      <c r="K224" s="270" t="s">
        <v>1213</v>
      </c>
      <c r="L224" s="270" t="s">
        <v>1214</v>
      </c>
      <c r="M224" s="220" t="s">
        <v>4</v>
      </c>
      <c r="N224" s="220" t="s">
        <v>14</v>
      </c>
      <c r="O224" s="213">
        <v>44900</v>
      </c>
      <c r="P224" s="213">
        <v>44921</v>
      </c>
      <c r="Q224" s="213" t="s">
        <v>114</v>
      </c>
      <c r="R224" s="213" t="s">
        <v>105</v>
      </c>
      <c r="S224" s="213" t="s">
        <v>105</v>
      </c>
      <c r="T224" s="213" t="s">
        <v>105</v>
      </c>
      <c r="U224" s="213">
        <v>44992</v>
      </c>
      <c r="V224" s="213" t="s">
        <v>105</v>
      </c>
      <c r="W224" s="213" t="s">
        <v>105</v>
      </c>
      <c r="X224" s="213" t="s">
        <v>269</v>
      </c>
      <c r="Y224" s="213" t="s">
        <v>270</v>
      </c>
      <c r="Z224" s="233">
        <v>45089</v>
      </c>
      <c r="AA224" s="210" t="s">
        <v>1215</v>
      </c>
      <c r="AB224" s="270" t="s">
        <v>1212</v>
      </c>
      <c r="AC224" s="270" t="s">
        <v>1213</v>
      </c>
      <c r="AD224" s="270" t="s">
        <v>1214</v>
      </c>
      <c r="AE224" s="220" t="s">
        <v>12</v>
      </c>
      <c r="AF224" s="210" t="s">
        <v>4</v>
      </c>
      <c r="AG224" s="291">
        <v>600</v>
      </c>
      <c r="AH224" s="291">
        <v>30600</v>
      </c>
      <c r="AI224" s="214" t="s">
        <v>23</v>
      </c>
      <c r="AJ224" s="230" t="s">
        <v>104</v>
      </c>
      <c r="AK224" s="210" t="s">
        <v>105</v>
      </c>
      <c r="AL224" s="210" t="s">
        <v>24</v>
      </c>
      <c r="AM224" s="210" t="s">
        <v>24</v>
      </c>
      <c r="AN224" s="210" t="s">
        <v>24</v>
      </c>
      <c r="AO224" s="210"/>
      <c r="AP224" s="219" t="s">
        <v>24</v>
      </c>
      <c r="AQ224" s="210" t="s">
        <v>24</v>
      </c>
      <c r="AR224" s="210" t="s">
        <v>24</v>
      </c>
      <c r="AS224" s="210" t="s">
        <v>24</v>
      </c>
      <c r="AT224" s="210" t="s">
        <v>24</v>
      </c>
      <c r="AU224" s="210" t="s">
        <v>24</v>
      </c>
      <c r="AV224" s="210" t="s">
        <v>24</v>
      </c>
      <c r="AW224" s="210" t="s">
        <v>24</v>
      </c>
      <c r="AX224" s="213">
        <v>45019</v>
      </c>
      <c r="AY224" s="213">
        <v>45069</v>
      </c>
      <c r="AZ224" s="233">
        <v>45089</v>
      </c>
      <c r="BA224" s="232" t="s">
        <v>30</v>
      </c>
      <c r="BB224" s="217" t="s">
        <v>105</v>
      </c>
      <c r="BC224" s="218">
        <f t="shared" si="25"/>
        <v>169</v>
      </c>
      <c r="BD224" s="210" t="str">
        <f t="shared" si="24"/>
        <v>AA</v>
      </c>
      <c r="BE224" s="210" t="str">
        <f t="shared" si="23"/>
        <v>NÃO</v>
      </c>
      <c r="BF224" s="210" t="s">
        <v>24</v>
      </c>
      <c r="BG224" s="210" t="s">
        <v>24</v>
      </c>
      <c r="BH224" s="210" t="s">
        <v>24</v>
      </c>
      <c r="BI224" s="210" t="s">
        <v>24</v>
      </c>
      <c r="BJ224" s="210" t="s">
        <v>24</v>
      </c>
      <c r="BK224" s="210" t="s">
        <v>24</v>
      </c>
      <c r="BL224" s="210" t="s">
        <v>24</v>
      </c>
      <c r="BM224" s="265" t="s">
        <v>105</v>
      </c>
      <c r="BN224" s="232"/>
      <c r="BO224" s="232"/>
      <c r="BP224" s="232"/>
      <c r="BQ224" s="232"/>
      <c r="BR224" s="232"/>
      <c r="BS224" s="232"/>
      <c r="BT224" s="232"/>
      <c r="BU224" s="232"/>
      <c r="BV224" s="232"/>
      <c r="BW224" s="232"/>
      <c r="BX224" s="232"/>
      <c r="BY224" s="232"/>
    </row>
    <row r="225" spans="1:162" ht="35.25" customHeight="1" x14ac:dyDescent="0.25">
      <c r="A225" s="210">
        <v>212</v>
      </c>
      <c r="B225" s="210" t="s">
        <v>99</v>
      </c>
      <c r="C225" s="220">
        <v>1</v>
      </c>
      <c r="D225" s="210">
        <v>0</v>
      </c>
      <c r="E225" s="210">
        <v>0</v>
      </c>
      <c r="F225" s="270" t="s">
        <v>1216</v>
      </c>
      <c r="G225" s="220" t="s">
        <v>1</v>
      </c>
      <c r="H225" s="220" t="s">
        <v>2</v>
      </c>
      <c r="I225" s="210" t="s">
        <v>12</v>
      </c>
      <c r="J225" s="270" t="s">
        <v>1217</v>
      </c>
      <c r="K225" s="270" t="s">
        <v>1218</v>
      </c>
      <c r="L225" s="270" t="s">
        <v>1219</v>
      </c>
      <c r="M225" s="220" t="s">
        <v>4</v>
      </c>
      <c r="N225" s="220" t="s">
        <v>5</v>
      </c>
      <c r="O225" s="213">
        <v>44900</v>
      </c>
      <c r="P225" s="213" t="s">
        <v>24</v>
      </c>
      <c r="Q225" s="213" t="s">
        <v>24</v>
      </c>
      <c r="R225" s="213" t="s">
        <v>24</v>
      </c>
      <c r="S225" s="213" t="s">
        <v>24</v>
      </c>
      <c r="T225" s="213" t="s">
        <v>24</v>
      </c>
      <c r="U225" s="213" t="s">
        <v>24</v>
      </c>
      <c r="V225" s="213" t="s">
        <v>24</v>
      </c>
      <c r="W225" s="213" t="s">
        <v>24</v>
      </c>
      <c r="X225" s="213" t="s">
        <v>24</v>
      </c>
      <c r="Y225" s="213" t="s">
        <v>24</v>
      </c>
      <c r="Z225" s="213" t="s">
        <v>24</v>
      </c>
      <c r="AA225" s="210"/>
      <c r="AB225" s="270" t="s">
        <v>1217</v>
      </c>
      <c r="AC225" s="270" t="s">
        <v>1218</v>
      </c>
      <c r="AD225" s="270" t="s">
        <v>1219</v>
      </c>
      <c r="AE225" s="220" t="s">
        <v>12</v>
      </c>
      <c r="AF225" s="210" t="s">
        <v>4</v>
      </c>
      <c r="AG225" s="291">
        <v>400</v>
      </c>
      <c r="AH225" s="291">
        <v>30400</v>
      </c>
      <c r="AI225" s="214" t="s">
        <v>6</v>
      </c>
      <c r="AJ225" s="230" t="s">
        <v>104</v>
      </c>
      <c r="AK225" s="210" t="s">
        <v>105</v>
      </c>
      <c r="AL225" s="210" t="s">
        <v>105</v>
      </c>
      <c r="AM225" s="210" t="s">
        <v>105</v>
      </c>
      <c r="AN225" s="210" t="s">
        <v>106</v>
      </c>
      <c r="AO225" s="210"/>
      <c r="AP225" s="219" t="s">
        <v>1220</v>
      </c>
      <c r="AQ225" s="210" t="s">
        <v>105</v>
      </c>
      <c r="AR225" s="210" t="s">
        <v>105</v>
      </c>
      <c r="AS225" s="210" t="s">
        <v>105</v>
      </c>
      <c r="AT225" s="210" t="s">
        <v>105</v>
      </c>
      <c r="AU225" s="213">
        <v>44966</v>
      </c>
      <c r="AV225" s="210" t="s">
        <v>105</v>
      </c>
      <c r="AW225" s="210" t="s">
        <v>105</v>
      </c>
      <c r="AX225" s="213">
        <v>45049</v>
      </c>
      <c r="AY225" s="213">
        <v>45049</v>
      </c>
      <c r="AZ225" s="233">
        <v>45057</v>
      </c>
      <c r="BA225" s="232" t="s">
        <v>30</v>
      </c>
      <c r="BB225" s="217" t="s">
        <v>105</v>
      </c>
      <c r="BC225" s="218">
        <f t="shared" si="25"/>
        <v>149</v>
      </c>
      <c r="BD225" s="210" t="str">
        <f t="shared" si="24"/>
        <v>INDENIZAÇÃO</v>
      </c>
      <c r="BE225" s="210" t="str">
        <f t="shared" si="23"/>
        <v>NÃO</v>
      </c>
      <c r="BF225" s="210" t="s">
        <v>24</v>
      </c>
      <c r="BG225" s="210" t="s">
        <v>24</v>
      </c>
      <c r="BH225" s="210" t="s">
        <v>24</v>
      </c>
      <c r="BI225" s="254" t="s">
        <v>105</v>
      </c>
      <c r="BJ225" s="254" t="s">
        <v>105</v>
      </c>
      <c r="BK225" s="253">
        <v>45190</v>
      </c>
      <c r="BL225" s="254" t="s">
        <v>105</v>
      </c>
      <c r="BM225" s="266" t="s">
        <v>105</v>
      </c>
      <c r="BN225" s="232"/>
      <c r="BO225" s="232"/>
      <c r="BP225" s="232"/>
      <c r="BQ225" s="232"/>
      <c r="BR225" s="232"/>
      <c r="BS225" s="232"/>
      <c r="BT225" s="232"/>
      <c r="BU225" s="232"/>
      <c r="BV225" s="232"/>
      <c r="BW225" s="232"/>
      <c r="BX225" s="232"/>
      <c r="BY225" s="232"/>
    </row>
    <row r="226" spans="1:162" ht="35.25" customHeight="1" x14ac:dyDescent="0.25">
      <c r="A226" s="210">
        <v>213</v>
      </c>
      <c r="B226" s="210" t="s">
        <v>99</v>
      </c>
      <c r="C226" s="210">
        <v>2</v>
      </c>
      <c r="D226" s="210">
        <v>0</v>
      </c>
      <c r="E226" s="210">
        <v>0</v>
      </c>
      <c r="F226" s="219" t="s">
        <v>1221</v>
      </c>
      <c r="G226" s="210" t="s">
        <v>1</v>
      </c>
      <c r="H226" s="210" t="s">
        <v>2</v>
      </c>
      <c r="I226" s="210" t="s">
        <v>12</v>
      </c>
      <c r="J226" s="281" t="s">
        <v>1222</v>
      </c>
      <c r="K226" s="282" t="s">
        <v>1223</v>
      </c>
      <c r="L226" s="282" t="s">
        <v>1224</v>
      </c>
      <c r="M226" s="220" t="s">
        <v>4</v>
      </c>
      <c r="N226" s="220" t="s">
        <v>5</v>
      </c>
      <c r="O226" s="213">
        <v>45400</v>
      </c>
      <c r="P226" s="213" t="s">
        <v>24</v>
      </c>
      <c r="Q226" s="213" t="s">
        <v>24</v>
      </c>
      <c r="R226" s="213" t="s">
        <v>24</v>
      </c>
      <c r="S226" s="213" t="s">
        <v>24</v>
      </c>
      <c r="T226" s="213" t="s">
        <v>24</v>
      </c>
      <c r="U226" s="213" t="s">
        <v>24</v>
      </c>
      <c r="V226" s="213" t="s">
        <v>24</v>
      </c>
      <c r="W226" s="213" t="s">
        <v>24</v>
      </c>
      <c r="X226" s="213" t="s">
        <v>24</v>
      </c>
      <c r="Y226" s="213" t="s">
        <v>24</v>
      </c>
      <c r="Z226" s="213" t="s">
        <v>24</v>
      </c>
      <c r="AA226" s="232"/>
      <c r="AB226" s="281" t="s">
        <v>1222</v>
      </c>
      <c r="AC226" s="282" t="s">
        <v>1223</v>
      </c>
      <c r="AD226" s="282" t="s">
        <v>1224</v>
      </c>
      <c r="AE226" s="210" t="s">
        <v>12</v>
      </c>
      <c r="AF226" s="210" t="s">
        <v>4</v>
      </c>
      <c r="AG226" s="230">
        <f>AH226-30000</f>
        <v>28762.65</v>
      </c>
      <c r="AH226" s="230">
        <v>58762.65</v>
      </c>
      <c r="AI226" s="214" t="s">
        <v>6</v>
      </c>
      <c r="AJ226" s="230" t="s">
        <v>104</v>
      </c>
      <c r="AK226" s="210" t="s">
        <v>105</v>
      </c>
      <c r="AL226" s="250" t="s">
        <v>105</v>
      </c>
      <c r="AM226" s="210" t="s">
        <v>105</v>
      </c>
      <c r="AN226" s="250" t="s">
        <v>106</v>
      </c>
      <c r="AO226" s="232"/>
      <c r="AP226" s="219" t="s">
        <v>1225</v>
      </c>
      <c r="AQ226" s="210" t="s">
        <v>105</v>
      </c>
      <c r="AR226" s="210" t="s">
        <v>105</v>
      </c>
      <c r="AS226" s="228" t="s">
        <v>105</v>
      </c>
      <c r="AT226" s="228" t="s">
        <v>105</v>
      </c>
      <c r="AU226" s="213">
        <v>45464</v>
      </c>
      <c r="AV226" s="210" t="s">
        <v>105</v>
      </c>
      <c r="AW226" s="210" t="s">
        <v>105</v>
      </c>
      <c r="AX226" s="213">
        <v>45438</v>
      </c>
      <c r="AY226" s="213">
        <v>45438</v>
      </c>
      <c r="AZ226" s="236" t="s">
        <v>220</v>
      </c>
      <c r="BA226" s="235" t="s">
        <v>502</v>
      </c>
      <c r="BB226" s="217" t="s">
        <v>105</v>
      </c>
      <c r="BC226" s="218">
        <f t="shared" si="25"/>
        <v>38</v>
      </c>
      <c r="BD226" s="210" t="str">
        <f t="shared" si="24"/>
        <v>INDENIZAÇÃO</v>
      </c>
      <c r="BE226" s="210" t="str">
        <f t="shared" si="23"/>
        <v>NÃO</v>
      </c>
      <c r="BF226" s="210" t="s">
        <v>24</v>
      </c>
      <c r="BG226" s="210" t="s">
        <v>24</v>
      </c>
      <c r="BH226" s="210" t="s">
        <v>24</v>
      </c>
      <c r="BI226" s="210" t="s">
        <v>105</v>
      </c>
      <c r="BJ226" s="210" t="s">
        <v>105</v>
      </c>
      <c r="BK226" s="213">
        <v>45621</v>
      </c>
      <c r="BL226" s="210" t="s">
        <v>105</v>
      </c>
      <c r="BM226" s="241" t="s">
        <v>220</v>
      </c>
      <c r="BN226" s="232"/>
      <c r="BO226" s="232"/>
      <c r="BP226" s="232"/>
      <c r="BQ226" s="232"/>
      <c r="BR226" s="232"/>
      <c r="BS226" s="232"/>
      <c r="BT226" s="232"/>
      <c r="BU226" s="232"/>
      <c r="BV226" s="232"/>
      <c r="BW226" s="232"/>
      <c r="BX226" s="232"/>
      <c r="BY226" s="232"/>
    </row>
    <row r="227" spans="1:162" ht="35.25" customHeight="1" x14ac:dyDescent="0.25">
      <c r="A227" s="210">
        <v>214</v>
      </c>
      <c r="B227" s="232" t="s">
        <v>99</v>
      </c>
      <c r="C227" s="232">
        <v>2</v>
      </c>
      <c r="D227" s="232">
        <v>0</v>
      </c>
      <c r="E227" s="232">
        <v>0</v>
      </c>
      <c r="F227" s="219" t="s">
        <v>1226</v>
      </c>
      <c r="G227" s="232" t="s">
        <v>1</v>
      </c>
      <c r="H227" s="232" t="s">
        <v>2</v>
      </c>
      <c r="I227" s="232" t="s">
        <v>12</v>
      </c>
      <c r="J227" s="234" t="s">
        <v>1227</v>
      </c>
      <c r="K227" s="234" t="s">
        <v>1228</v>
      </c>
      <c r="L227" s="234" t="s">
        <v>1229</v>
      </c>
      <c r="M227" s="232" t="s">
        <v>4</v>
      </c>
      <c r="N227" s="232" t="s">
        <v>1197</v>
      </c>
      <c r="O227" s="233">
        <v>45463</v>
      </c>
      <c r="P227" s="213" t="s">
        <v>24</v>
      </c>
      <c r="Q227" s="213" t="s">
        <v>24</v>
      </c>
      <c r="R227" s="213" t="s">
        <v>24</v>
      </c>
      <c r="S227" s="213" t="s">
        <v>24</v>
      </c>
      <c r="T227" s="213" t="s">
        <v>24</v>
      </c>
      <c r="U227" s="213" t="s">
        <v>24</v>
      </c>
      <c r="V227" s="213" t="s">
        <v>24</v>
      </c>
      <c r="W227" s="213" t="s">
        <v>24</v>
      </c>
      <c r="X227" s="213" t="s">
        <v>24</v>
      </c>
      <c r="Y227" s="213" t="s">
        <v>24</v>
      </c>
      <c r="Z227" s="213" t="s">
        <v>24</v>
      </c>
      <c r="AA227" s="232"/>
      <c r="AB227" s="281" t="s">
        <v>1227</v>
      </c>
      <c r="AC227" s="234" t="s">
        <v>1228</v>
      </c>
      <c r="AD227" s="234" t="s">
        <v>1229</v>
      </c>
      <c r="AE227" s="232" t="s">
        <v>12</v>
      </c>
      <c r="AF227" s="232" t="s">
        <v>529</v>
      </c>
      <c r="AG227" s="294">
        <v>5220.91</v>
      </c>
      <c r="AH227" s="294">
        <f>AG227+30000</f>
        <v>35220.910000000003</v>
      </c>
      <c r="AI227" s="232" t="s">
        <v>6</v>
      </c>
      <c r="AJ227" s="230" t="s">
        <v>104</v>
      </c>
      <c r="AK227" s="210" t="s">
        <v>105</v>
      </c>
      <c r="AL227" s="210" t="s">
        <v>105</v>
      </c>
      <c r="AM227" s="210" t="s">
        <v>105</v>
      </c>
      <c r="AN227" s="232" t="s">
        <v>106</v>
      </c>
      <c r="AO227" s="286" t="s">
        <v>1230</v>
      </c>
      <c r="AP227" s="219" t="s">
        <v>1231</v>
      </c>
      <c r="AQ227" s="210" t="s">
        <v>105</v>
      </c>
      <c r="AR227" s="210" t="s">
        <v>105</v>
      </c>
      <c r="AS227" s="210" t="s">
        <v>105</v>
      </c>
      <c r="AT227" s="210" t="s">
        <v>105</v>
      </c>
      <c r="AU227" s="213">
        <v>45537</v>
      </c>
      <c r="AV227" s="210" t="s">
        <v>105</v>
      </c>
      <c r="AW227" s="210" t="s">
        <v>105</v>
      </c>
      <c r="AX227" s="213">
        <v>45541</v>
      </c>
      <c r="AY227" s="213">
        <v>45541</v>
      </c>
      <c r="AZ227" s="221" t="s">
        <v>220</v>
      </c>
      <c r="BA227" s="241" t="s">
        <v>502</v>
      </c>
      <c r="BB227" s="217" t="s">
        <v>105</v>
      </c>
      <c r="BC227" s="218">
        <f t="shared" si="25"/>
        <v>78</v>
      </c>
      <c r="BD227" s="210" t="str">
        <f t="shared" si="24"/>
        <v>INDENIZAÇÃO</v>
      </c>
      <c r="BE227" s="210" t="str">
        <f t="shared" si="23"/>
        <v>NÃO</v>
      </c>
      <c r="BF227" s="210" t="s">
        <v>24</v>
      </c>
      <c r="BG227" s="210" t="s">
        <v>24</v>
      </c>
      <c r="BH227" s="210" t="s">
        <v>24</v>
      </c>
      <c r="BI227" s="210" t="s">
        <v>105</v>
      </c>
      <c r="BJ227" s="210" t="s">
        <v>105</v>
      </c>
      <c r="BK227" s="213">
        <v>45621</v>
      </c>
      <c r="BL227" s="210" t="s">
        <v>105</v>
      </c>
      <c r="BM227" s="241" t="s">
        <v>220</v>
      </c>
      <c r="BN227" s="232"/>
      <c r="BO227" s="232"/>
      <c r="BP227" s="232"/>
      <c r="BQ227" s="232"/>
      <c r="BR227" s="232"/>
      <c r="BS227" s="232"/>
      <c r="BT227" s="232"/>
      <c r="BU227" s="232"/>
      <c r="BV227" s="232"/>
      <c r="BW227" s="232"/>
      <c r="BX227" s="232"/>
      <c r="BY227" s="232"/>
    </row>
    <row r="228" spans="1:162" ht="35.25" hidden="1" customHeight="1" x14ac:dyDescent="0.25">
      <c r="A228" s="210">
        <v>215</v>
      </c>
      <c r="B228" s="210" t="s">
        <v>99</v>
      </c>
      <c r="C228" s="210">
        <v>2</v>
      </c>
      <c r="D228" s="210">
        <v>0</v>
      </c>
      <c r="E228" s="210">
        <v>0</v>
      </c>
      <c r="F228" s="219" t="s">
        <v>1232</v>
      </c>
      <c r="G228" s="210" t="s">
        <v>10</v>
      </c>
      <c r="H228" s="210" t="s">
        <v>2</v>
      </c>
      <c r="I228" s="210" t="s">
        <v>139</v>
      </c>
      <c r="J228" s="219" t="s">
        <v>139</v>
      </c>
      <c r="K228" s="219" t="s">
        <v>139</v>
      </c>
      <c r="L228" s="219" t="s">
        <v>139</v>
      </c>
      <c r="M228" s="232"/>
      <c r="N228" s="232"/>
      <c r="O228" s="213">
        <v>45019</v>
      </c>
      <c r="P228" s="233"/>
      <c r="Q228" s="233"/>
      <c r="R228" s="233"/>
      <c r="S228" s="233"/>
      <c r="T228" s="213" t="s">
        <v>105</v>
      </c>
      <c r="U228" s="233"/>
      <c r="V228" s="233"/>
      <c r="W228" s="233"/>
      <c r="X228" s="233"/>
      <c r="Y228" s="233"/>
      <c r="Z228" s="233"/>
      <c r="AA228" s="232"/>
      <c r="AB228" s="219" t="s">
        <v>139</v>
      </c>
      <c r="AC228" s="219" t="s">
        <v>139</v>
      </c>
      <c r="AD228" s="219" t="s">
        <v>139</v>
      </c>
      <c r="AE228" s="210" t="s">
        <v>139</v>
      </c>
      <c r="AF228" s="232"/>
      <c r="AG228" s="230" t="s">
        <v>139</v>
      </c>
      <c r="AH228" s="230" t="s">
        <v>139</v>
      </c>
      <c r="AI228" s="232"/>
      <c r="AJ228" s="230" t="s">
        <v>104</v>
      </c>
      <c r="AK228" s="232"/>
      <c r="AL228" s="232"/>
      <c r="AM228" s="232"/>
      <c r="AN228" s="232"/>
      <c r="AO228" s="232"/>
      <c r="AP228" s="234"/>
      <c r="AQ228" s="232"/>
      <c r="AR228" s="232"/>
      <c r="AS228" s="232"/>
      <c r="AT228" s="232"/>
      <c r="AU228" s="232"/>
      <c r="AV228" s="232"/>
      <c r="AW228" s="232"/>
      <c r="AX228" s="233"/>
      <c r="AY228" s="232"/>
      <c r="AZ228" s="233"/>
      <c r="BA228" s="232"/>
      <c r="BB228" s="232"/>
      <c r="BC228" s="218" t="str">
        <f t="shared" si="25"/>
        <v/>
      </c>
      <c r="BD228" s="210" t="str">
        <f t="shared" si="24"/>
        <v>INDENIZAÇÃO</v>
      </c>
      <c r="BE228" s="210" t="str">
        <f t="shared" si="23"/>
        <v>NÃO</v>
      </c>
      <c r="BF228" s="210"/>
      <c r="BG228" s="210"/>
      <c r="BH228" s="210"/>
      <c r="BI228" s="210"/>
      <c r="BJ228" s="210"/>
      <c r="BK228" s="210"/>
      <c r="BL228" s="210"/>
      <c r="BM228" s="210"/>
      <c r="BN228" s="232"/>
      <c r="BO228" s="232"/>
      <c r="BP228" s="232"/>
      <c r="BQ228" s="232"/>
      <c r="BR228" s="232"/>
      <c r="BS228" s="232"/>
      <c r="BT228" s="232"/>
      <c r="BU228" s="232"/>
      <c r="BV228" s="232"/>
      <c r="BW228" s="232"/>
      <c r="BX228" s="232"/>
      <c r="BY228" s="232"/>
    </row>
    <row r="229" spans="1:162" ht="35.25" customHeight="1" x14ac:dyDescent="0.25">
      <c r="A229" s="210">
        <v>216</v>
      </c>
      <c r="B229" s="232" t="s">
        <v>99</v>
      </c>
      <c r="C229" s="232">
        <v>2</v>
      </c>
      <c r="D229" s="232">
        <v>0</v>
      </c>
      <c r="E229" s="232">
        <v>0</v>
      </c>
      <c r="F229" s="219" t="s">
        <v>1233</v>
      </c>
      <c r="G229" s="232" t="s">
        <v>1</v>
      </c>
      <c r="H229" s="232" t="s">
        <v>2</v>
      </c>
      <c r="I229" s="232" t="s">
        <v>12</v>
      </c>
      <c r="J229" s="234" t="s">
        <v>1234</v>
      </c>
      <c r="K229" s="234" t="s">
        <v>1235</v>
      </c>
      <c r="L229" s="234" t="s">
        <v>1236</v>
      </c>
      <c r="M229" s="232" t="s">
        <v>4</v>
      </c>
      <c r="N229" s="232" t="s">
        <v>5</v>
      </c>
      <c r="O229" s="233">
        <v>45525</v>
      </c>
      <c r="P229" s="213" t="s">
        <v>24</v>
      </c>
      <c r="Q229" s="213" t="s">
        <v>24</v>
      </c>
      <c r="R229" s="213" t="s">
        <v>24</v>
      </c>
      <c r="S229" s="213" t="s">
        <v>24</v>
      </c>
      <c r="T229" s="213" t="s">
        <v>24</v>
      </c>
      <c r="U229" s="213" t="s">
        <v>24</v>
      </c>
      <c r="V229" s="213" t="s">
        <v>24</v>
      </c>
      <c r="W229" s="213" t="s">
        <v>24</v>
      </c>
      <c r="X229" s="213" t="s">
        <v>24</v>
      </c>
      <c r="Y229" s="213" t="s">
        <v>24</v>
      </c>
      <c r="Z229" s="213" t="s">
        <v>24</v>
      </c>
      <c r="AA229" s="232"/>
      <c r="AB229" s="281" t="s">
        <v>1234</v>
      </c>
      <c r="AC229" s="234" t="s">
        <v>1235</v>
      </c>
      <c r="AD229" s="234" t="s">
        <v>1236</v>
      </c>
      <c r="AE229" s="232" t="s">
        <v>12</v>
      </c>
      <c r="AF229" s="232" t="s">
        <v>4</v>
      </c>
      <c r="AG229" s="294">
        <v>10077.129999999999</v>
      </c>
      <c r="AH229" s="294">
        <f>AG229+30000</f>
        <v>40077.129999999997</v>
      </c>
      <c r="AI229" s="232" t="s">
        <v>6</v>
      </c>
      <c r="AJ229" s="230" t="s">
        <v>104</v>
      </c>
      <c r="AK229" s="210" t="s">
        <v>105</v>
      </c>
      <c r="AL229" s="210" t="s">
        <v>105</v>
      </c>
      <c r="AM229" s="210" t="s">
        <v>105</v>
      </c>
      <c r="AN229" s="232" t="s">
        <v>106</v>
      </c>
      <c r="AO229" s="286"/>
      <c r="AP229" s="219" t="s">
        <v>1237</v>
      </c>
      <c r="AQ229" s="210" t="s">
        <v>105</v>
      </c>
      <c r="AR229" s="210" t="s">
        <v>105</v>
      </c>
      <c r="AS229" s="210" t="s">
        <v>105</v>
      </c>
      <c r="AT229" s="210" t="s">
        <v>105</v>
      </c>
      <c r="AU229" s="233">
        <v>45569</v>
      </c>
      <c r="AV229" s="210" t="s">
        <v>105</v>
      </c>
      <c r="AW229" s="210" t="s">
        <v>105</v>
      </c>
      <c r="AX229" s="233">
        <v>45579</v>
      </c>
      <c r="AY229" s="221">
        <v>45579</v>
      </c>
      <c r="AZ229" s="221" t="s">
        <v>220</v>
      </c>
      <c r="BA229" s="241" t="s">
        <v>502</v>
      </c>
      <c r="BB229" s="217" t="s">
        <v>105</v>
      </c>
      <c r="BC229" s="218">
        <f t="shared" si="25"/>
        <v>54</v>
      </c>
      <c r="BD229" s="210" t="str">
        <f t="shared" si="24"/>
        <v>INDENIZAÇÃO</v>
      </c>
      <c r="BE229" s="210" t="str">
        <f t="shared" si="23"/>
        <v>NÃO</v>
      </c>
      <c r="BF229" s="210" t="s">
        <v>24</v>
      </c>
      <c r="BG229" s="210" t="s">
        <v>24</v>
      </c>
      <c r="BH229" s="210" t="s">
        <v>24</v>
      </c>
      <c r="BI229" s="210" t="s">
        <v>105</v>
      </c>
      <c r="BJ229" s="210" t="s">
        <v>105</v>
      </c>
      <c r="BK229" s="213">
        <v>45621</v>
      </c>
      <c r="BL229" s="210" t="s">
        <v>105</v>
      </c>
      <c r="BM229" s="241" t="s">
        <v>220</v>
      </c>
      <c r="BN229" s="210"/>
      <c r="BO229" s="210"/>
      <c r="BP229" s="210"/>
      <c r="BQ229" s="210"/>
      <c r="BR229" s="210"/>
      <c r="BS229" s="210"/>
      <c r="BT229" s="210"/>
      <c r="BU229" s="210"/>
      <c r="BV229" s="210"/>
      <c r="BW229" s="210"/>
      <c r="BX229" s="210"/>
      <c r="BY229" s="210"/>
      <c r="BZ229" s="194"/>
      <c r="CA229" s="194"/>
      <c r="CB229" s="194"/>
      <c r="CC229" s="194"/>
      <c r="CD229" s="194"/>
      <c r="CE229" s="194"/>
      <c r="CF229" s="194"/>
      <c r="CG229" s="194"/>
      <c r="CH229" s="194"/>
      <c r="CI229" s="194"/>
      <c r="CJ229" s="194"/>
      <c r="CK229" s="194"/>
      <c r="CL229" s="194"/>
      <c r="CM229" s="194"/>
      <c r="CN229" s="194"/>
      <c r="CO229" s="194"/>
      <c r="CP229" s="194"/>
      <c r="CQ229" s="194"/>
      <c r="CR229" s="194"/>
      <c r="CS229" s="194"/>
      <c r="CT229" s="194"/>
      <c r="CU229" s="194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4"/>
      <c r="DG229" s="194"/>
      <c r="DH229" s="194"/>
      <c r="DI229" s="194"/>
      <c r="DJ229" s="194"/>
      <c r="DK229" s="194"/>
      <c r="DL229" s="194"/>
      <c r="DM229" s="194"/>
      <c r="DN229" s="194"/>
      <c r="DO229" s="194"/>
      <c r="DP229" s="194"/>
      <c r="DQ229" s="194"/>
      <c r="DR229" s="194"/>
      <c r="DS229" s="194"/>
      <c r="DT229" s="194"/>
      <c r="DU229" s="194"/>
      <c r="DV229" s="194"/>
      <c r="DW229" s="194"/>
      <c r="DX229" s="194"/>
      <c r="DY229" s="194"/>
      <c r="DZ229" s="194"/>
      <c r="EA229" s="194"/>
      <c r="EB229" s="194"/>
      <c r="EC229" s="194"/>
      <c r="ED229" s="194"/>
      <c r="EE229" s="194"/>
      <c r="EF229" s="194"/>
      <c r="EG229" s="194"/>
      <c r="EH229" s="194"/>
      <c r="EI229" s="194"/>
      <c r="EJ229" s="194"/>
      <c r="EK229" s="194"/>
      <c r="EL229" s="194"/>
      <c r="EM229" s="194"/>
      <c r="EN229" s="194"/>
      <c r="EO229" s="194"/>
      <c r="EP229" s="194"/>
      <c r="EQ229" s="194"/>
      <c r="ER229" s="194"/>
      <c r="ES229" s="194"/>
      <c r="ET229" s="194"/>
      <c r="EU229" s="194"/>
      <c r="EV229" s="194"/>
      <c r="EW229" s="194"/>
      <c r="EX229" s="194"/>
      <c r="EY229" s="194"/>
      <c r="EZ229" s="194"/>
      <c r="FA229" s="194"/>
      <c r="FB229" s="194"/>
      <c r="FC229" s="194"/>
      <c r="FD229" s="194"/>
      <c r="FE229" s="194"/>
      <c r="FF229" s="194"/>
    </row>
    <row r="230" spans="1:162" ht="35.25" hidden="1" customHeight="1" x14ac:dyDescent="0.25">
      <c r="A230" s="210">
        <v>217</v>
      </c>
      <c r="B230" s="210" t="s">
        <v>99</v>
      </c>
      <c r="C230" s="210">
        <v>2</v>
      </c>
      <c r="D230" s="210">
        <v>0</v>
      </c>
      <c r="E230" s="210">
        <v>0</v>
      </c>
      <c r="F230" s="219" t="s">
        <v>1238</v>
      </c>
      <c r="G230" s="210" t="s">
        <v>1</v>
      </c>
      <c r="H230" s="210" t="s">
        <v>139</v>
      </c>
      <c r="I230" s="210" t="s">
        <v>139</v>
      </c>
      <c r="J230" s="219" t="s">
        <v>139</v>
      </c>
      <c r="K230" s="219" t="s">
        <v>139</v>
      </c>
      <c r="L230" s="219" t="s">
        <v>139</v>
      </c>
      <c r="M230" s="232"/>
      <c r="N230" s="232"/>
      <c r="O230" s="213">
        <v>45019</v>
      </c>
      <c r="P230" s="233"/>
      <c r="Q230" s="233"/>
      <c r="R230" s="233"/>
      <c r="S230" s="233"/>
      <c r="T230" s="213" t="s">
        <v>105</v>
      </c>
      <c r="U230" s="233"/>
      <c r="V230" s="233"/>
      <c r="W230" s="233"/>
      <c r="X230" s="233"/>
      <c r="Y230" s="233"/>
      <c r="Z230" s="233"/>
      <c r="AA230" s="232"/>
      <c r="AB230" s="219" t="s">
        <v>139</v>
      </c>
      <c r="AC230" s="219" t="s">
        <v>139</v>
      </c>
      <c r="AD230" s="219" t="s">
        <v>139</v>
      </c>
      <c r="AE230" s="210" t="s">
        <v>139</v>
      </c>
      <c r="AF230" s="232"/>
      <c r="AG230" s="230" t="s">
        <v>139</v>
      </c>
      <c r="AH230" s="230" t="s">
        <v>139</v>
      </c>
      <c r="AI230" s="232"/>
      <c r="AJ230" s="230" t="s">
        <v>104</v>
      </c>
      <c r="AK230" s="232"/>
      <c r="AL230" s="232"/>
      <c r="AM230" s="232"/>
      <c r="AN230" s="232"/>
      <c r="AO230" s="232"/>
      <c r="AP230" s="234"/>
      <c r="AQ230" s="232"/>
      <c r="AR230" s="232"/>
      <c r="AS230" s="232"/>
      <c r="AT230" s="232"/>
      <c r="AU230" s="232"/>
      <c r="AV230" s="232"/>
      <c r="AW230" s="232"/>
      <c r="AX230" s="233"/>
      <c r="AY230" s="232"/>
      <c r="AZ230" s="233"/>
      <c r="BA230" s="232"/>
      <c r="BB230" s="232"/>
      <c r="BC230" s="218" t="str">
        <f t="shared" si="25"/>
        <v/>
      </c>
      <c r="BD230" s="210" t="str">
        <f t="shared" si="24"/>
        <v>INDENIZAÇÃO</v>
      </c>
      <c r="BE230" s="210" t="str">
        <f t="shared" si="23"/>
        <v>NÃO</v>
      </c>
      <c r="BF230" s="210"/>
      <c r="BG230" s="210"/>
      <c r="BH230" s="210"/>
      <c r="BI230" s="210"/>
      <c r="BJ230" s="210"/>
      <c r="BK230" s="210"/>
      <c r="BL230" s="210"/>
      <c r="BM230" s="210"/>
      <c r="BN230" s="232"/>
      <c r="BO230" s="232"/>
      <c r="BP230" s="232"/>
      <c r="BQ230" s="232"/>
      <c r="BR230" s="232"/>
      <c r="BS230" s="232"/>
      <c r="BT230" s="232"/>
      <c r="BU230" s="232"/>
      <c r="BV230" s="232"/>
      <c r="BW230" s="232"/>
      <c r="BX230" s="232"/>
      <c r="BY230" s="232"/>
    </row>
    <row r="231" spans="1:162" ht="35.25" hidden="1" customHeight="1" x14ac:dyDescent="0.25">
      <c r="A231" s="210">
        <v>218</v>
      </c>
      <c r="B231" s="210" t="s">
        <v>99</v>
      </c>
      <c r="C231" s="210">
        <v>2</v>
      </c>
      <c r="D231" s="210">
        <v>0</v>
      </c>
      <c r="E231" s="210">
        <v>0</v>
      </c>
      <c r="F231" s="219" t="s">
        <v>1239</v>
      </c>
      <c r="G231" s="210" t="s">
        <v>1</v>
      </c>
      <c r="H231" s="210" t="s">
        <v>2</v>
      </c>
      <c r="I231" s="210" t="s">
        <v>139</v>
      </c>
      <c r="J231" s="219" t="s">
        <v>1240</v>
      </c>
      <c r="K231" s="219" t="s">
        <v>139</v>
      </c>
      <c r="L231" s="219" t="s">
        <v>139</v>
      </c>
      <c r="M231" s="232"/>
      <c r="N231" s="232"/>
      <c r="O231" s="213">
        <v>45019</v>
      </c>
      <c r="P231" s="233"/>
      <c r="Q231" s="233"/>
      <c r="R231" s="233"/>
      <c r="S231" s="233"/>
      <c r="T231" s="213" t="s">
        <v>105</v>
      </c>
      <c r="U231" s="233"/>
      <c r="V231" s="233"/>
      <c r="W231" s="233"/>
      <c r="X231" s="233"/>
      <c r="Y231" s="233"/>
      <c r="Z231" s="233"/>
      <c r="AA231" s="232"/>
      <c r="AB231" s="219" t="s">
        <v>139</v>
      </c>
      <c r="AC231" s="219" t="s">
        <v>139</v>
      </c>
      <c r="AD231" s="219" t="s">
        <v>139</v>
      </c>
      <c r="AE231" s="210" t="s">
        <v>139</v>
      </c>
      <c r="AF231" s="232"/>
      <c r="AG231" s="230" t="s">
        <v>139</v>
      </c>
      <c r="AH231" s="230" t="s">
        <v>139</v>
      </c>
      <c r="AI231" s="232"/>
      <c r="AJ231" s="230" t="s">
        <v>104</v>
      </c>
      <c r="AK231" s="232"/>
      <c r="AL231" s="232"/>
      <c r="AM231" s="232"/>
      <c r="AN231" s="232"/>
      <c r="AO231" s="232"/>
      <c r="AP231" s="234"/>
      <c r="AQ231" s="232"/>
      <c r="AR231" s="232"/>
      <c r="AS231" s="232"/>
      <c r="AT231" s="232"/>
      <c r="AU231" s="232"/>
      <c r="AV231" s="232"/>
      <c r="AW231" s="232"/>
      <c r="AX231" s="233"/>
      <c r="AY231" s="232"/>
      <c r="AZ231" s="233"/>
      <c r="BA231" s="232"/>
      <c r="BB231" s="232"/>
      <c r="BC231" s="218" t="str">
        <f t="shared" si="25"/>
        <v/>
      </c>
      <c r="BD231" s="210" t="str">
        <f t="shared" si="24"/>
        <v>INDENIZAÇÃO</v>
      </c>
      <c r="BE231" s="210" t="str">
        <f t="shared" si="23"/>
        <v>NÃO</v>
      </c>
      <c r="BF231" s="210"/>
      <c r="BG231" s="210"/>
      <c r="BH231" s="210"/>
      <c r="BI231" s="210"/>
      <c r="BJ231" s="210"/>
      <c r="BK231" s="210"/>
      <c r="BL231" s="210"/>
      <c r="BM231" s="210"/>
      <c r="BN231" s="232"/>
      <c r="BO231" s="232"/>
      <c r="BP231" s="232"/>
      <c r="BQ231" s="232"/>
      <c r="BR231" s="232"/>
      <c r="BS231" s="232"/>
      <c r="BT231" s="232"/>
      <c r="BU231" s="232"/>
      <c r="BV231" s="232"/>
      <c r="BW231" s="232"/>
      <c r="BX231" s="232"/>
      <c r="BY231" s="232"/>
    </row>
    <row r="232" spans="1:162" ht="35.25" hidden="1" customHeight="1" x14ac:dyDescent="0.25">
      <c r="A232" s="210">
        <v>219</v>
      </c>
      <c r="B232" s="210" t="s">
        <v>99</v>
      </c>
      <c r="C232" s="210">
        <v>2</v>
      </c>
      <c r="D232" s="210">
        <v>0</v>
      </c>
      <c r="E232" s="210">
        <v>0</v>
      </c>
      <c r="F232" s="219" t="s">
        <v>1241</v>
      </c>
      <c r="G232" s="210" t="s">
        <v>1</v>
      </c>
      <c r="H232" s="210" t="s">
        <v>2</v>
      </c>
      <c r="I232" s="210" t="s">
        <v>139</v>
      </c>
      <c r="J232" s="219" t="s">
        <v>139</v>
      </c>
      <c r="K232" s="219" t="s">
        <v>139</v>
      </c>
      <c r="L232" s="219" t="s">
        <v>139</v>
      </c>
      <c r="M232" s="232"/>
      <c r="N232" s="232"/>
      <c r="O232" s="213">
        <v>45019</v>
      </c>
      <c r="P232" s="233"/>
      <c r="Q232" s="233"/>
      <c r="R232" s="233"/>
      <c r="S232" s="233"/>
      <c r="T232" s="213" t="s">
        <v>105</v>
      </c>
      <c r="U232" s="233"/>
      <c r="V232" s="233"/>
      <c r="W232" s="233"/>
      <c r="X232" s="233"/>
      <c r="Y232" s="233"/>
      <c r="Z232" s="233"/>
      <c r="AA232" s="232"/>
      <c r="AB232" s="219" t="s">
        <v>139</v>
      </c>
      <c r="AC232" s="219" t="s">
        <v>139</v>
      </c>
      <c r="AD232" s="219" t="s">
        <v>139</v>
      </c>
      <c r="AE232" s="210" t="s">
        <v>139</v>
      </c>
      <c r="AF232" s="232"/>
      <c r="AG232" s="230" t="s">
        <v>139</v>
      </c>
      <c r="AH232" s="230" t="s">
        <v>139</v>
      </c>
      <c r="AI232" s="232"/>
      <c r="AJ232" s="230" t="s">
        <v>104</v>
      </c>
      <c r="AK232" s="232"/>
      <c r="AL232" s="232"/>
      <c r="AM232" s="232"/>
      <c r="AN232" s="232"/>
      <c r="AO232" s="232"/>
      <c r="AP232" s="234"/>
      <c r="AQ232" s="232"/>
      <c r="AR232" s="232"/>
      <c r="AS232" s="232"/>
      <c r="AT232" s="232"/>
      <c r="AU232" s="232"/>
      <c r="AV232" s="232"/>
      <c r="AW232" s="232"/>
      <c r="AX232" s="233"/>
      <c r="AY232" s="232"/>
      <c r="AZ232" s="233"/>
      <c r="BA232" s="232"/>
      <c r="BB232" s="232"/>
      <c r="BC232" s="218" t="str">
        <f t="shared" si="25"/>
        <v/>
      </c>
      <c r="BD232" s="210" t="str">
        <f t="shared" si="24"/>
        <v>INDENIZAÇÃO</v>
      </c>
      <c r="BE232" s="210" t="str">
        <f t="shared" si="23"/>
        <v>NÃO</v>
      </c>
      <c r="BF232" s="210"/>
      <c r="BG232" s="210"/>
      <c r="BH232" s="210"/>
      <c r="BI232" s="210"/>
      <c r="BJ232" s="210"/>
      <c r="BK232" s="210"/>
      <c r="BL232" s="210"/>
      <c r="BM232" s="210"/>
      <c r="BN232" s="232"/>
      <c r="BO232" s="232"/>
      <c r="BP232" s="232"/>
      <c r="BQ232" s="232"/>
      <c r="BR232" s="232"/>
      <c r="BS232" s="232"/>
      <c r="BT232" s="232"/>
      <c r="BU232" s="232"/>
      <c r="BV232" s="232"/>
      <c r="BW232" s="232"/>
      <c r="BX232" s="232"/>
      <c r="BY232" s="232"/>
    </row>
    <row r="233" spans="1:162" ht="35.25" hidden="1" customHeight="1" x14ac:dyDescent="0.25">
      <c r="A233" s="210">
        <v>220</v>
      </c>
      <c r="B233" s="210" t="s">
        <v>99</v>
      </c>
      <c r="C233" s="210">
        <v>2</v>
      </c>
      <c r="D233" s="210">
        <v>0</v>
      </c>
      <c r="E233" s="210">
        <v>0</v>
      </c>
      <c r="F233" s="219" t="s">
        <v>1242</v>
      </c>
      <c r="G233" s="210" t="s">
        <v>1</v>
      </c>
      <c r="H233" s="210" t="s">
        <v>2</v>
      </c>
      <c r="I233" s="210" t="s">
        <v>121</v>
      </c>
      <c r="J233" s="219" t="s">
        <v>1243</v>
      </c>
      <c r="K233" s="219" t="s">
        <v>1244</v>
      </c>
      <c r="L233" s="219" t="s">
        <v>1245</v>
      </c>
      <c r="M233" s="232"/>
      <c r="N233" s="232"/>
      <c r="O233" s="213">
        <v>45019</v>
      </c>
      <c r="P233" s="233"/>
      <c r="Q233" s="233"/>
      <c r="R233" s="233"/>
      <c r="S233" s="233"/>
      <c r="T233" s="213" t="s">
        <v>105</v>
      </c>
      <c r="U233" s="233"/>
      <c r="V233" s="233"/>
      <c r="W233" s="233"/>
      <c r="X233" s="233"/>
      <c r="Y233" s="233"/>
      <c r="Z233" s="233"/>
      <c r="AA233" s="232"/>
      <c r="AB233" s="219" t="s">
        <v>1246</v>
      </c>
      <c r="AC233" s="219" t="s">
        <v>1247</v>
      </c>
      <c r="AD233" s="219" t="s">
        <v>1248</v>
      </c>
      <c r="AE233" s="210" t="s">
        <v>547</v>
      </c>
      <c r="AF233" s="232"/>
      <c r="AG233" s="230" t="s">
        <v>139</v>
      </c>
      <c r="AH233" s="230" t="s">
        <v>139</v>
      </c>
      <c r="AI233" s="232"/>
      <c r="AJ233" s="230" t="s">
        <v>104</v>
      </c>
      <c r="AK233" s="232"/>
      <c r="AL233" s="232"/>
      <c r="AM233" s="232"/>
      <c r="AN233" s="232"/>
      <c r="AO233" s="232"/>
      <c r="AP233" s="234"/>
      <c r="AQ233" s="232"/>
      <c r="AR233" s="232"/>
      <c r="AS233" s="232"/>
      <c r="AT233" s="232"/>
      <c r="AU233" s="232"/>
      <c r="AV233" s="232"/>
      <c r="AW233" s="232"/>
      <c r="AX233" s="233"/>
      <c r="AY233" s="232"/>
      <c r="AZ233" s="233"/>
      <c r="BA233" s="232"/>
      <c r="BB233" s="232"/>
      <c r="BC233" s="218" t="str">
        <f t="shared" si="25"/>
        <v/>
      </c>
      <c r="BD233" s="210" t="str">
        <f t="shared" si="24"/>
        <v>INDENIZAÇÃO</v>
      </c>
      <c r="BE233" s="210" t="str">
        <f t="shared" si="23"/>
        <v>NÃO</v>
      </c>
      <c r="BF233" s="210"/>
      <c r="BG233" s="210"/>
      <c r="BH233" s="210"/>
      <c r="BI233" s="210"/>
      <c r="BJ233" s="210"/>
      <c r="BK233" s="210"/>
      <c r="BL233" s="210"/>
      <c r="BM233" s="210"/>
      <c r="BN233" s="232"/>
      <c r="BO233" s="232"/>
      <c r="BP233" s="232"/>
      <c r="BQ233" s="232"/>
      <c r="BR233" s="232"/>
      <c r="BS233" s="232"/>
      <c r="BT233" s="232"/>
      <c r="BU233" s="232"/>
      <c r="BV233" s="232"/>
      <c r="BW233" s="232"/>
      <c r="BX233" s="232"/>
      <c r="BY233" s="232"/>
    </row>
    <row r="234" spans="1:162" ht="35.25" hidden="1" customHeight="1" x14ac:dyDescent="0.25">
      <c r="A234" s="210">
        <v>221</v>
      </c>
      <c r="B234" s="210" t="s">
        <v>99</v>
      </c>
      <c r="C234" s="210">
        <v>2</v>
      </c>
      <c r="D234" s="210">
        <v>0</v>
      </c>
      <c r="E234" s="210">
        <v>0</v>
      </c>
      <c r="F234" s="219" t="s">
        <v>1249</v>
      </c>
      <c r="G234" s="210" t="s">
        <v>1</v>
      </c>
      <c r="H234" s="210" t="s">
        <v>2</v>
      </c>
      <c r="I234" s="210" t="s">
        <v>12</v>
      </c>
      <c r="J234" s="219" t="s">
        <v>1246</v>
      </c>
      <c r="K234" s="219" t="s">
        <v>1247</v>
      </c>
      <c r="L234" s="219" t="s">
        <v>1248</v>
      </c>
      <c r="M234" s="232"/>
      <c r="N234" s="232"/>
      <c r="O234" s="213">
        <v>45019</v>
      </c>
      <c r="P234" s="233"/>
      <c r="Q234" s="233"/>
      <c r="R234" s="233"/>
      <c r="S234" s="233"/>
      <c r="T234" s="213" t="s">
        <v>105</v>
      </c>
      <c r="U234" s="233"/>
      <c r="V234" s="233"/>
      <c r="W234" s="233"/>
      <c r="X234" s="233"/>
      <c r="Y234" s="233"/>
      <c r="Z234" s="233"/>
      <c r="AA234" s="232"/>
      <c r="AB234" s="219" t="s">
        <v>1246</v>
      </c>
      <c r="AC234" s="219" t="s">
        <v>1247</v>
      </c>
      <c r="AD234" s="219" t="s">
        <v>1248</v>
      </c>
      <c r="AE234" s="220" t="s">
        <v>12</v>
      </c>
      <c r="AF234" s="232"/>
      <c r="AG234" s="230" t="s">
        <v>139</v>
      </c>
      <c r="AH234" s="230" t="s">
        <v>139</v>
      </c>
      <c r="AI234" s="232"/>
      <c r="AJ234" s="230" t="s">
        <v>104</v>
      </c>
      <c r="AK234" s="232"/>
      <c r="AL234" s="232"/>
      <c r="AM234" s="232"/>
      <c r="AN234" s="232"/>
      <c r="AO234" s="232"/>
      <c r="AP234" s="234"/>
      <c r="AQ234" s="232"/>
      <c r="AR234" s="232"/>
      <c r="AS234" s="232"/>
      <c r="AT234" s="232"/>
      <c r="AU234" s="232"/>
      <c r="AV234" s="232"/>
      <c r="AW234" s="232"/>
      <c r="AX234" s="233"/>
      <c r="AY234" s="232"/>
      <c r="AZ234" s="233"/>
      <c r="BA234" s="232"/>
      <c r="BB234" s="232"/>
      <c r="BC234" s="218" t="str">
        <f t="shared" si="25"/>
        <v/>
      </c>
      <c r="BD234" s="210" t="str">
        <f t="shared" si="24"/>
        <v>INDENIZAÇÃO</v>
      </c>
      <c r="BE234" s="210" t="str">
        <f t="shared" si="23"/>
        <v>NÃO</v>
      </c>
      <c r="BF234" s="210"/>
      <c r="BG234" s="210"/>
      <c r="BH234" s="210"/>
      <c r="BI234" s="210"/>
      <c r="BJ234" s="210"/>
      <c r="BK234" s="210"/>
      <c r="BL234" s="210"/>
      <c r="BM234" s="210"/>
      <c r="BN234" s="232"/>
      <c r="BO234" s="232"/>
      <c r="BP234" s="232"/>
      <c r="BQ234" s="232"/>
      <c r="BR234" s="232"/>
      <c r="BS234" s="232"/>
      <c r="BT234" s="232"/>
      <c r="BU234" s="232"/>
      <c r="BV234" s="232"/>
      <c r="BW234" s="232"/>
      <c r="BX234" s="232"/>
      <c r="BY234" s="232"/>
    </row>
    <row r="235" spans="1:162" ht="35.25" hidden="1" customHeight="1" x14ac:dyDescent="0.25">
      <c r="A235" s="210">
        <v>222</v>
      </c>
      <c r="B235" s="210" t="s">
        <v>99</v>
      </c>
      <c r="C235" s="210">
        <v>2</v>
      </c>
      <c r="D235" s="210">
        <v>0</v>
      </c>
      <c r="E235" s="210">
        <v>0</v>
      </c>
      <c r="F235" s="219" t="s">
        <v>1250</v>
      </c>
      <c r="G235" s="210" t="s">
        <v>1</v>
      </c>
      <c r="H235" s="210" t="s">
        <v>2</v>
      </c>
      <c r="I235" s="210" t="s">
        <v>121</v>
      </c>
      <c r="J235" s="219" t="s">
        <v>1251</v>
      </c>
      <c r="K235" s="219" t="s">
        <v>1252</v>
      </c>
      <c r="L235" s="219" t="s">
        <v>1253</v>
      </c>
      <c r="M235" s="232"/>
      <c r="N235" s="232"/>
      <c r="O235" s="213">
        <v>45019</v>
      </c>
      <c r="P235" s="233"/>
      <c r="Q235" s="233"/>
      <c r="R235" s="233"/>
      <c r="S235" s="233"/>
      <c r="T235" s="213" t="s">
        <v>105</v>
      </c>
      <c r="U235" s="233"/>
      <c r="V235" s="233"/>
      <c r="W235" s="233"/>
      <c r="X235" s="233"/>
      <c r="Y235" s="233"/>
      <c r="Z235" s="233"/>
      <c r="AA235" s="232"/>
      <c r="AB235" s="219" t="s">
        <v>1246</v>
      </c>
      <c r="AC235" s="219" t="s">
        <v>1247</v>
      </c>
      <c r="AD235" s="219" t="s">
        <v>1248</v>
      </c>
      <c r="AE235" s="210" t="s">
        <v>547</v>
      </c>
      <c r="AF235" s="232"/>
      <c r="AG235" s="230" t="s">
        <v>139</v>
      </c>
      <c r="AH235" s="230" t="s">
        <v>139</v>
      </c>
      <c r="AI235" s="232"/>
      <c r="AJ235" s="230" t="s">
        <v>104</v>
      </c>
      <c r="AK235" s="232"/>
      <c r="AL235" s="232"/>
      <c r="AM235" s="232"/>
      <c r="AN235" s="232"/>
      <c r="AO235" s="232"/>
      <c r="AP235" s="234"/>
      <c r="AQ235" s="232"/>
      <c r="AR235" s="232"/>
      <c r="AS235" s="232"/>
      <c r="AT235" s="232"/>
      <c r="AU235" s="232"/>
      <c r="AV235" s="232"/>
      <c r="AW235" s="232"/>
      <c r="AX235" s="233"/>
      <c r="AY235" s="232"/>
      <c r="AZ235" s="233"/>
      <c r="BA235" s="232"/>
      <c r="BB235" s="232"/>
      <c r="BC235" s="218" t="str">
        <f t="shared" si="25"/>
        <v/>
      </c>
      <c r="BD235" s="210" t="str">
        <f t="shared" si="24"/>
        <v>INDENIZAÇÃO</v>
      </c>
      <c r="BE235" s="210" t="str">
        <f t="shared" si="23"/>
        <v>NÃO</v>
      </c>
      <c r="BF235" s="210"/>
      <c r="BG235" s="210"/>
      <c r="BH235" s="210"/>
      <c r="BI235" s="210"/>
      <c r="BJ235" s="210"/>
      <c r="BK235" s="210"/>
      <c r="BL235" s="210"/>
      <c r="BM235" s="210"/>
      <c r="BN235" s="232"/>
      <c r="BO235" s="232"/>
      <c r="BP235" s="232"/>
      <c r="BQ235" s="232"/>
      <c r="BR235" s="232"/>
      <c r="BS235" s="232"/>
      <c r="BT235" s="232"/>
      <c r="BU235" s="232"/>
      <c r="BV235" s="232"/>
      <c r="BW235" s="232"/>
      <c r="BX235" s="232"/>
      <c r="BY235" s="232"/>
    </row>
    <row r="236" spans="1:162" ht="35.25" customHeight="1" x14ac:dyDescent="0.25">
      <c r="A236" s="210">
        <v>223</v>
      </c>
      <c r="B236" s="210" t="s">
        <v>99</v>
      </c>
      <c r="C236" s="210">
        <v>2</v>
      </c>
      <c r="D236" s="210">
        <v>0</v>
      </c>
      <c r="E236" s="210">
        <v>0</v>
      </c>
      <c r="F236" s="219" t="s">
        <v>1254</v>
      </c>
      <c r="G236" s="210" t="s">
        <v>1</v>
      </c>
      <c r="H236" s="210" t="s">
        <v>2</v>
      </c>
      <c r="I236" s="210" t="s">
        <v>12</v>
      </c>
      <c r="J236" s="219" t="s">
        <v>1255</v>
      </c>
      <c r="K236" s="219" t="s">
        <v>1256</v>
      </c>
      <c r="L236" s="219" t="s">
        <v>1257</v>
      </c>
      <c r="M236" s="232" t="s">
        <v>4</v>
      </c>
      <c r="N236" s="232" t="s">
        <v>5</v>
      </c>
      <c r="O236" s="213">
        <v>45253</v>
      </c>
      <c r="P236" s="229" t="s">
        <v>24</v>
      </c>
      <c r="Q236" s="213" t="s">
        <v>24</v>
      </c>
      <c r="R236" s="213" t="s">
        <v>24</v>
      </c>
      <c r="S236" s="213" t="s">
        <v>24</v>
      </c>
      <c r="T236" s="213" t="s">
        <v>105</v>
      </c>
      <c r="U236" s="213" t="s">
        <v>24</v>
      </c>
      <c r="V236" s="213" t="s">
        <v>24</v>
      </c>
      <c r="W236" s="213" t="s">
        <v>24</v>
      </c>
      <c r="X236" s="213" t="s">
        <v>24</v>
      </c>
      <c r="Y236" s="213" t="s">
        <v>24</v>
      </c>
      <c r="Z236" s="213" t="s">
        <v>24</v>
      </c>
      <c r="AA236" s="232"/>
      <c r="AB236" s="219" t="s">
        <v>1255</v>
      </c>
      <c r="AC236" s="219" t="s">
        <v>1256</v>
      </c>
      <c r="AD236" s="219" t="s">
        <v>1257</v>
      </c>
      <c r="AE236" s="220" t="s">
        <v>12</v>
      </c>
      <c r="AF236" s="210" t="s">
        <v>4</v>
      </c>
      <c r="AG236" s="230">
        <f>AH236-30000</f>
        <v>5130.2799999999988</v>
      </c>
      <c r="AH236" s="230">
        <v>35130.28</v>
      </c>
      <c r="AI236" s="232" t="s">
        <v>6</v>
      </c>
      <c r="AJ236" s="230" t="s">
        <v>104</v>
      </c>
      <c r="AK236" s="210" t="s">
        <v>105</v>
      </c>
      <c r="AL236" s="232" t="s">
        <v>105</v>
      </c>
      <c r="AM236" s="232" t="s">
        <v>105</v>
      </c>
      <c r="AN236" s="232" t="s">
        <v>106</v>
      </c>
      <c r="AO236" s="232"/>
      <c r="AP236" s="234" t="s">
        <v>1258</v>
      </c>
      <c r="AQ236" s="232" t="s">
        <v>105</v>
      </c>
      <c r="AR236" s="232" t="s">
        <v>105</v>
      </c>
      <c r="AS236" s="232" t="s">
        <v>105</v>
      </c>
      <c r="AT236" s="232" t="s">
        <v>105</v>
      </c>
      <c r="AU236" s="233">
        <v>45278</v>
      </c>
      <c r="AV236" s="232" t="s">
        <v>105</v>
      </c>
      <c r="AW236" s="228" t="s">
        <v>105</v>
      </c>
      <c r="AX236" s="229">
        <v>45295</v>
      </c>
      <c r="AY236" s="236">
        <v>45300</v>
      </c>
      <c r="AZ236" s="235" t="s">
        <v>220</v>
      </c>
      <c r="BA236" s="235" t="s">
        <v>502</v>
      </c>
      <c r="BB236" s="217" t="s">
        <v>105</v>
      </c>
      <c r="BC236" s="218">
        <f t="shared" si="25"/>
        <v>47</v>
      </c>
      <c r="BD236" s="210" t="str">
        <f t="shared" si="24"/>
        <v>INDENIZAÇÃO</v>
      </c>
      <c r="BE236" s="210" t="str">
        <f t="shared" si="23"/>
        <v>NÃO</v>
      </c>
      <c r="BF236" s="210" t="s">
        <v>24</v>
      </c>
      <c r="BG236" s="210" t="s">
        <v>24</v>
      </c>
      <c r="BH236" s="210" t="s">
        <v>24</v>
      </c>
      <c r="BI236" s="210" t="s">
        <v>105</v>
      </c>
      <c r="BJ236" s="210" t="s">
        <v>105</v>
      </c>
      <c r="BK236" s="213">
        <v>45510</v>
      </c>
      <c r="BL236" s="210" t="s">
        <v>105</v>
      </c>
      <c r="BM236" s="266" t="s">
        <v>105</v>
      </c>
      <c r="BN236" s="232"/>
      <c r="BO236" s="232"/>
      <c r="BP236" s="232"/>
      <c r="BQ236" s="232"/>
      <c r="BR236" s="232"/>
      <c r="BS236" s="232"/>
      <c r="BT236" s="232"/>
      <c r="BU236" s="232"/>
      <c r="BV236" s="232"/>
      <c r="BW236" s="232"/>
      <c r="BX236" s="232"/>
      <c r="BY236" s="232"/>
    </row>
    <row r="237" spans="1:162" ht="35.25" hidden="1" customHeight="1" x14ac:dyDescent="0.25">
      <c r="A237" s="210">
        <v>224</v>
      </c>
      <c r="B237" s="210" t="s">
        <v>99</v>
      </c>
      <c r="C237" s="210">
        <v>2</v>
      </c>
      <c r="D237" s="210">
        <v>0</v>
      </c>
      <c r="E237" s="210">
        <v>0</v>
      </c>
      <c r="F237" s="270" t="s">
        <v>1259</v>
      </c>
      <c r="G237" s="220" t="s">
        <v>1</v>
      </c>
      <c r="H237" s="220" t="s">
        <v>2</v>
      </c>
      <c r="I237" s="210" t="s">
        <v>12</v>
      </c>
      <c r="J237" s="270" t="s">
        <v>1260</v>
      </c>
      <c r="K237" s="270" t="s">
        <v>1261</v>
      </c>
      <c r="L237" s="270" t="s">
        <v>1262</v>
      </c>
      <c r="M237" s="232"/>
      <c r="N237" s="232"/>
      <c r="O237" s="213">
        <v>45019</v>
      </c>
      <c r="P237" s="233"/>
      <c r="Q237" s="233"/>
      <c r="R237" s="233"/>
      <c r="S237" s="233"/>
      <c r="T237" s="213" t="s">
        <v>105</v>
      </c>
      <c r="U237" s="233"/>
      <c r="V237" s="233"/>
      <c r="W237" s="233"/>
      <c r="X237" s="233"/>
      <c r="Y237" s="233"/>
      <c r="Z237" s="233"/>
      <c r="AA237" s="232"/>
      <c r="AB237" s="270" t="s">
        <v>1260</v>
      </c>
      <c r="AC237" s="270" t="s">
        <v>1261</v>
      </c>
      <c r="AD237" s="270" t="s">
        <v>1262</v>
      </c>
      <c r="AE237" s="220" t="s">
        <v>12</v>
      </c>
      <c r="AF237" s="232"/>
      <c r="AG237" s="291" t="s">
        <v>139</v>
      </c>
      <c r="AH237" s="291" t="s">
        <v>139</v>
      </c>
      <c r="AI237" s="232"/>
      <c r="AJ237" s="230" t="s">
        <v>104</v>
      </c>
      <c r="AK237" s="232"/>
      <c r="AL237" s="232"/>
      <c r="AM237" s="232"/>
      <c r="AN237" s="232"/>
      <c r="AO237" s="232"/>
      <c r="AP237" s="234"/>
      <c r="AQ237" s="232"/>
      <c r="AR237" s="232"/>
      <c r="AS237" s="232"/>
      <c r="AT237" s="232"/>
      <c r="AU237" s="232"/>
      <c r="AV237" s="232"/>
      <c r="AW237" s="232"/>
      <c r="AX237" s="233"/>
      <c r="AY237" s="232"/>
      <c r="AZ237" s="233"/>
      <c r="BA237" s="232"/>
      <c r="BB237" s="232"/>
      <c r="BC237" s="218" t="str">
        <f t="shared" si="25"/>
        <v/>
      </c>
      <c r="BD237" s="210" t="str">
        <f t="shared" si="24"/>
        <v>INDENIZAÇÃO</v>
      </c>
      <c r="BE237" s="210" t="str">
        <f t="shared" si="23"/>
        <v>NÃO</v>
      </c>
      <c r="BF237" s="210"/>
      <c r="BG237" s="210"/>
      <c r="BH237" s="210"/>
      <c r="BI237" s="210"/>
      <c r="BJ237" s="210"/>
      <c r="BK237" s="210"/>
      <c r="BL237" s="210"/>
      <c r="BM237" s="210"/>
      <c r="BN237" s="232"/>
      <c r="BO237" s="232"/>
      <c r="BP237" s="232"/>
      <c r="BQ237" s="232"/>
      <c r="BR237" s="232"/>
      <c r="BS237" s="232"/>
      <c r="BT237" s="232"/>
      <c r="BU237" s="232"/>
      <c r="BV237" s="232"/>
      <c r="BW237" s="232"/>
      <c r="BX237" s="232"/>
      <c r="BY237" s="232"/>
    </row>
    <row r="238" spans="1:162" ht="35.25" customHeight="1" x14ac:dyDescent="0.25">
      <c r="A238" s="210">
        <v>225</v>
      </c>
      <c r="B238" s="210" t="s">
        <v>99</v>
      </c>
      <c r="C238" s="210">
        <v>2</v>
      </c>
      <c r="D238" s="210">
        <v>0</v>
      </c>
      <c r="E238" s="210">
        <v>0</v>
      </c>
      <c r="F238" s="219" t="s">
        <v>1263</v>
      </c>
      <c r="G238" s="210" t="s">
        <v>1</v>
      </c>
      <c r="H238" s="210" t="s">
        <v>2</v>
      </c>
      <c r="I238" s="210" t="s">
        <v>121</v>
      </c>
      <c r="J238" s="219" t="s">
        <v>1264</v>
      </c>
      <c r="K238" s="219" t="s">
        <v>1265</v>
      </c>
      <c r="L238" s="219" t="s">
        <v>1266</v>
      </c>
      <c r="M238" s="232" t="s">
        <v>4</v>
      </c>
      <c r="N238" s="232" t="s">
        <v>14</v>
      </c>
      <c r="O238" s="213">
        <v>45019</v>
      </c>
      <c r="P238" s="251" t="s">
        <v>1003</v>
      </c>
      <c r="Q238" s="233" t="s">
        <v>114</v>
      </c>
      <c r="R238" s="233" t="s">
        <v>105</v>
      </c>
      <c r="S238" s="233" t="s">
        <v>105</v>
      </c>
      <c r="T238" s="213" t="s">
        <v>105</v>
      </c>
      <c r="U238" s="251">
        <v>45189</v>
      </c>
      <c r="V238" s="251" t="s">
        <v>105</v>
      </c>
      <c r="W238" s="251">
        <v>45189</v>
      </c>
      <c r="X238" s="251">
        <v>45201</v>
      </c>
      <c r="Y238" s="251">
        <v>45204</v>
      </c>
      <c r="Z238" s="236" t="s">
        <v>220</v>
      </c>
      <c r="AA238" s="232"/>
      <c r="AB238" s="219" t="s">
        <v>1267</v>
      </c>
      <c r="AC238" s="219" t="s">
        <v>1268</v>
      </c>
      <c r="AD238" s="219" t="s">
        <v>1269</v>
      </c>
      <c r="AE238" s="210" t="s">
        <v>547</v>
      </c>
      <c r="AF238" s="210" t="s">
        <v>4</v>
      </c>
      <c r="AG238" s="230">
        <f>AH238-30000</f>
        <v>6158.93</v>
      </c>
      <c r="AH238" s="230">
        <v>36158.93</v>
      </c>
      <c r="AI238" s="232" t="s">
        <v>6</v>
      </c>
      <c r="AJ238" s="230" t="s">
        <v>104</v>
      </c>
      <c r="AK238" s="210" t="s">
        <v>105</v>
      </c>
      <c r="AL238" s="232" t="s">
        <v>105</v>
      </c>
      <c r="AM238" s="232" t="s">
        <v>105</v>
      </c>
      <c r="AN238" s="232" t="s">
        <v>106</v>
      </c>
      <c r="AO238" s="250"/>
      <c r="AP238" s="267" t="s">
        <v>1270</v>
      </c>
      <c r="AQ238" s="250" t="s">
        <v>105</v>
      </c>
      <c r="AR238" s="250" t="s">
        <v>105</v>
      </c>
      <c r="AS238" s="210" t="s">
        <v>105</v>
      </c>
      <c r="AT238" s="210" t="s">
        <v>105</v>
      </c>
      <c r="AU238" s="213">
        <v>45351</v>
      </c>
      <c r="AV238" s="210" t="s">
        <v>105</v>
      </c>
      <c r="AW238" s="210" t="s">
        <v>105</v>
      </c>
      <c r="AX238" s="213">
        <v>45359</v>
      </c>
      <c r="AY238" s="221">
        <v>45359</v>
      </c>
      <c r="AZ238" s="236" t="s">
        <v>220</v>
      </c>
      <c r="BA238" s="235" t="s">
        <v>502</v>
      </c>
      <c r="BB238" s="217" t="s">
        <v>105</v>
      </c>
      <c r="BC238" s="218">
        <f t="shared" si="25"/>
        <v>340</v>
      </c>
      <c r="BD238" s="210" t="str">
        <f t="shared" si="24"/>
        <v>INDENIZAÇÃO</v>
      </c>
      <c r="BE238" s="210" t="str">
        <f t="shared" si="23"/>
        <v>NÃO</v>
      </c>
      <c r="BF238" s="210" t="s">
        <v>24</v>
      </c>
      <c r="BG238" s="210" t="s">
        <v>24</v>
      </c>
      <c r="BH238" s="210" t="s">
        <v>24</v>
      </c>
      <c r="BI238" s="210" t="s">
        <v>105</v>
      </c>
      <c r="BJ238" s="210" t="s">
        <v>105</v>
      </c>
      <c r="BK238" s="213">
        <v>45510</v>
      </c>
      <c r="BL238" s="210" t="s">
        <v>105</v>
      </c>
      <c r="BM238" s="241" t="s">
        <v>220</v>
      </c>
      <c r="BN238" s="232"/>
      <c r="BO238" s="232"/>
      <c r="BP238" s="232"/>
      <c r="BQ238" s="232"/>
      <c r="BR238" s="232"/>
      <c r="BS238" s="232"/>
      <c r="BT238" s="232"/>
      <c r="BU238" s="232"/>
      <c r="BV238" s="232"/>
      <c r="BW238" s="232"/>
      <c r="BX238" s="232"/>
      <c r="BY238" s="232"/>
    </row>
    <row r="239" spans="1:162" ht="35.25" hidden="1" customHeight="1" x14ac:dyDescent="0.25">
      <c r="A239" s="210">
        <v>226</v>
      </c>
      <c r="B239" s="210" t="s">
        <v>99</v>
      </c>
      <c r="C239" s="210">
        <v>2</v>
      </c>
      <c r="D239" s="210">
        <v>0</v>
      </c>
      <c r="E239" s="210">
        <v>0</v>
      </c>
      <c r="F239" s="219" t="s">
        <v>1271</v>
      </c>
      <c r="G239" s="210" t="s">
        <v>1</v>
      </c>
      <c r="H239" s="210" t="s">
        <v>2</v>
      </c>
      <c r="I239" s="210" t="s">
        <v>139</v>
      </c>
      <c r="J239" s="219" t="s">
        <v>1272</v>
      </c>
      <c r="K239" s="219" t="s">
        <v>139</v>
      </c>
      <c r="L239" s="219" t="s">
        <v>139</v>
      </c>
      <c r="M239" s="232"/>
      <c r="N239" s="232"/>
      <c r="O239" s="213">
        <v>45019</v>
      </c>
      <c r="P239" s="233"/>
      <c r="Q239" s="233"/>
      <c r="R239" s="233"/>
      <c r="S239" s="233"/>
      <c r="T239" s="213" t="s">
        <v>105</v>
      </c>
      <c r="U239" s="233"/>
      <c r="V239" s="233"/>
      <c r="W239" s="233"/>
      <c r="X239" s="233"/>
      <c r="Y239" s="233"/>
      <c r="Z239" s="233"/>
      <c r="AA239" s="232"/>
      <c r="AB239" s="219" t="s">
        <v>139</v>
      </c>
      <c r="AC239" s="219" t="s">
        <v>139</v>
      </c>
      <c r="AD239" s="219" t="s">
        <v>139</v>
      </c>
      <c r="AE239" s="210" t="s">
        <v>139</v>
      </c>
      <c r="AF239" s="232"/>
      <c r="AG239" s="230" t="s">
        <v>139</v>
      </c>
      <c r="AH239" s="230" t="s">
        <v>139</v>
      </c>
      <c r="AI239" s="232"/>
      <c r="AJ239" s="230" t="s">
        <v>104</v>
      </c>
      <c r="AK239" s="232"/>
      <c r="AL239" s="232"/>
      <c r="AM239" s="232"/>
      <c r="AN239" s="232"/>
      <c r="AO239" s="232"/>
      <c r="AP239" s="234"/>
      <c r="AQ239" s="232"/>
      <c r="AR239" s="232"/>
      <c r="AS239" s="232"/>
      <c r="AT239" s="232"/>
      <c r="AU239" s="232"/>
      <c r="AV239" s="232"/>
      <c r="AW239" s="232"/>
      <c r="AX239" s="233"/>
      <c r="AY239" s="232"/>
      <c r="AZ239" s="233"/>
      <c r="BA239" s="232"/>
      <c r="BB239" s="232"/>
      <c r="BC239" s="218" t="str">
        <f t="shared" si="25"/>
        <v/>
      </c>
      <c r="BD239" s="210" t="str">
        <f t="shared" si="24"/>
        <v>INDENIZAÇÃO</v>
      </c>
      <c r="BE239" s="210" t="str">
        <f t="shared" si="23"/>
        <v>NÃO</v>
      </c>
      <c r="BF239" s="210"/>
      <c r="BG239" s="210"/>
      <c r="BH239" s="210"/>
      <c r="BI239" s="210"/>
      <c r="BJ239" s="210"/>
      <c r="BK239" s="210"/>
      <c r="BL239" s="210"/>
      <c r="BM239" s="210"/>
      <c r="BN239" s="232"/>
      <c r="BO239" s="232"/>
      <c r="BP239" s="232"/>
      <c r="BQ239" s="232"/>
      <c r="BR239" s="232"/>
      <c r="BS239" s="232"/>
      <c r="BT239" s="232"/>
      <c r="BU239" s="232"/>
      <c r="BV239" s="232"/>
      <c r="BW239" s="232"/>
      <c r="BX239" s="232"/>
      <c r="BY239" s="232"/>
    </row>
    <row r="240" spans="1:162" ht="35.25" hidden="1" customHeight="1" x14ac:dyDescent="0.25">
      <c r="A240" s="210">
        <v>227</v>
      </c>
      <c r="B240" s="210" t="s">
        <v>99</v>
      </c>
      <c r="C240" s="210">
        <v>2</v>
      </c>
      <c r="D240" s="210">
        <v>0</v>
      </c>
      <c r="E240" s="210">
        <v>0</v>
      </c>
      <c r="F240" s="219" t="s">
        <v>1273</v>
      </c>
      <c r="G240" s="210" t="s">
        <v>1</v>
      </c>
      <c r="H240" s="210" t="s">
        <v>2</v>
      </c>
      <c r="I240" s="210" t="s">
        <v>12</v>
      </c>
      <c r="J240" s="219" t="s">
        <v>1274</v>
      </c>
      <c r="K240" s="219" t="s">
        <v>1275</v>
      </c>
      <c r="L240" s="219" t="s">
        <v>1276</v>
      </c>
      <c r="M240" s="232" t="s">
        <v>4</v>
      </c>
      <c r="N240" s="220" t="s">
        <v>14</v>
      </c>
      <c r="O240" s="213">
        <v>45019</v>
      </c>
      <c r="P240" s="251">
        <v>45238</v>
      </c>
      <c r="Q240" s="229" t="s">
        <v>114</v>
      </c>
      <c r="R240" s="233" t="s">
        <v>105</v>
      </c>
      <c r="S240" s="233" t="s">
        <v>105</v>
      </c>
      <c r="T240" s="213" t="s">
        <v>105</v>
      </c>
      <c r="U240" s="251">
        <v>45264</v>
      </c>
      <c r="V240" s="213" t="s">
        <v>105</v>
      </c>
      <c r="W240" s="233">
        <v>45265</v>
      </c>
      <c r="X240" s="233">
        <v>45275</v>
      </c>
      <c r="Y240" s="236" t="s">
        <v>220</v>
      </c>
      <c r="Z240" s="236"/>
      <c r="AA240" s="232"/>
      <c r="AB240" s="219" t="s">
        <v>1274</v>
      </c>
      <c r="AC240" s="219" t="s">
        <v>1275</v>
      </c>
      <c r="AD240" s="219" t="s">
        <v>1276</v>
      </c>
      <c r="AE240" s="220" t="s">
        <v>12</v>
      </c>
      <c r="AF240" s="210" t="s">
        <v>4</v>
      </c>
      <c r="AG240" s="230">
        <v>0</v>
      </c>
      <c r="AH240" s="230">
        <v>0</v>
      </c>
      <c r="AI240" s="232" t="s">
        <v>23</v>
      </c>
      <c r="AJ240" s="230" t="s">
        <v>104</v>
      </c>
      <c r="AK240" s="210" t="s">
        <v>105</v>
      </c>
      <c r="AL240" s="210" t="s">
        <v>24</v>
      </c>
      <c r="AM240" s="210" t="s">
        <v>24</v>
      </c>
      <c r="AN240" s="210" t="s">
        <v>24</v>
      </c>
      <c r="AO240" s="232"/>
      <c r="AP240" s="219" t="s">
        <v>24</v>
      </c>
      <c r="AQ240" s="210" t="s">
        <v>24</v>
      </c>
      <c r="AR240" s="210" t="s">
        <v>24</v>
      </c>
      <c r="AS240" s="210" t="s">
        <v>24</v>
      </c>
      <c r="AT240" s="210" t="s">
        <v>24</v>
      </c>
      <c r="AU240" s="210" t="s">
        <v>24</v>
      </c>
      <c r="AV240" s="210" t="s">
        <v>24</v>
      </c>
      <c r="AW240" s="210" t="s">
        <v>24</v>
      </c>
      <c r="AX240" s="233">
        <v>45275</v>
      </c>
      <c r="AY240" s="232"/>
      <c r="AZ240" s="233"/>
      <c r="BA240" s="232"/>
      <c r="BB240" s="232"/>
      <c r="BC240" s="218" t="str">
        <f t="shared" si="25"/>
        <v/>
      </c>
      <c r="BD240" s="210" t="str">
        <f t="shared" si="24"/>
        <v>AA</v>
      </c>
      <c r="BE240" s="210" t="str">
        <f t="shared" si="23"/>
        <v>NÃO</v>
      </c>
      <c r="BF240" s="210"/>
      <c r="BG240" s="210"/>
      <c r="BH240" s="210"/>
      <c r="BI240" s="210"/>
      <c r="BJ240" s="210"/>
      <c r="BK240" s="210"/>
      <c r="BL240" s="210"/>
      <c r="BM240" s="210"/>
      <c r="BN240" s="232"/>
      <c r="BO240" s="232"/>
      <c r="BP240" s="232"/>
      <c r="BQ240" s="232"/>
      <c r="BR240" s="232"/>
      <c r="BS240" s="232"/>
      <c r="BT240" s="232"/>
      <c r="BU240" s="232"/>
      <c r="BV240" s="232"/>
      <c r="BW240" s="232"/>
      <c r="BX240" s="232"/>
      <c r="BY240" s="232"/>
    </row>
    <row r="241" spans="1:77" ht="35.25" hidden="1" customHeight="1" x14ac:dyDescent="0.25">
      <c r="A241" s="210">
        <v>228</v>
      </c>
      <c r="B241" s="210" t="s">
        <v>99</v>
      </c>
      <c r="C241" s="210">
        <v>2</v>
      </c>
      <c r="D241" s="210">
        <v>0</v>
      </c>
      <c r="E241" s="210">
        <v>0</v>
      </c>
      <c r="F241" s="270" t="s">
        <v>1277</v>
      </c>
      <c r="G241" s="220" t="s">
        <v>1</v>
      </c>
      <c r="H241" s="220" t="s">
        <v>2</v>
      </c>
      <c r="I241" s="210" t="s">
        <v>12</v>
      </c>
      <c r="J241" s="270" t="s">
        <v>1278</v>
      </c>
      <c r="K241" s="270" t="s">
        <v>1279</v>
      </c>
      <c r="L241" s="270" t="s">
        <v>1280</v>
      </c>
      <c r="M241" s="232" t="s">
        <v>4</v>
      </c>
      <c r="N241" s="220" t="s">
        <v>14</v>
      </c>
      <c r="O241" s="213">
        <v>45019</v>
      </c>
      <c r="P241" s="233">
        <v>45189</v>
      </c>
      <c r="Q241" s="233" t="s">
        <v>114</v>
      </c>
      <c r="R241" s="233" t="s">
        <v>105</v>
      </c>
      <c r="S241" s="233" t="s">
        <v>105</v>
      </c>
      <c r="T241" s="213" t="s">
        <v>105</v>
      </c>
      <c r="U241" s="233">
        <v>45236</v>
      </c>
      <c r="V241" s="233" t="s">
        <v>105</v>
      </c>
      <c r="W241" s="233">
        <v>45237</v>
      </c>
      <c r="X241" s="251">
        <v>45253</v>
      </c>
      <c r="Y241" s="236" t="s">
        <v>220</v>
      </c>
      <c r="Z241" s="236"/>
      <c r="AA241" s="232"/>
      <c r="AB241" s="270" t="s">
        <v>1278</v>
      </c>
      <c r="AC241" s="270" t="s">
        <v>1279</v>
      </c>
      <c r="AD241" s="270" t="s">
        <v>1280</v>
      </c>
      <c r="AE241" s="220" t="s">
        <v>12</v>
      </c>
      <c r="AF241" s="210" t="s">
        <v>4</v>
      </c>
      <c r="AG241" s="230">
        <v>0</v>
      </c>
      <c r="AH241" s="230">
        <v>0</v>
      </c>
      <c r="AI241" s="214" t="s">
        <v>23</v>
      </c>
      <c r="AJ241" s="230" t="s">
        <v>104</v>
      </c>
      <c r="AK241" s="210" t="s">
        <v>105</v>
      </c>
      <c r="AL241" s="210" t="s">
        <v>24</v>
      </c>
      <c r="AM241" s="210" t="s">
        <v>24</v>
      </c>
      <c r="AN241" s="210" t="s">
        <v>24</v>
      </c>
      <c r="AO241" s="232"/>
      <c r="AP241" s="219" t="s">
        <v>24</v>
      </c>
      <c r="AQ241" s="210" t="s">
        <v>24</v>
      </c>
      <c r="AR241" s="210" t="s">
        <v>24</v>
      </c>
      <c r="AS241" s="210" t="s">
        <v>24</v>
      </c>
      <c r="AT241" s="210" t="s">
        <v>24</v>
      </c>
      <c r="AU241" s="210" t="s">
        <v>24</v>
      </c>
      <c r="AV241" s="210" t="s">
        <v>24</v>
      </c>
      <c r="AW241" s="210" t="s">
        <v>24</v>
      </c>
      <c r="AX241" s="251">
        <v>45253</v>
      </c>
      <c r="AY241" s="232"/>
      <c r="AZ241" s="233"/>
      <c r="BA241" s="232"/>
      <c r="BB241" s="232"/>
      <c r="BC241" s="218" t="str">
        <f t="shared" si="25"/>
        <v/>
      </c>
      <c r="BD241" s="210" t="str">
        <f t="shared" si="24"/>
        <v>AA</v>
      </c>
      <c r="BE241" s="210" t="str">
        <f t="shared" si="23"/>
        <v>NÃO</v>
      </c>
      <c r="BF241" s="210" t="s">
        <v>24</v>
      </c>
      <c r="BG241" s="210" t="s">
        <v>24</v>
      </c>
      <c r="BH241" s="210" t="s">
        <v>24</v>
      </c>
      <c r="BI241" s="210" t="s">
        <v>24</v>
      </c>
      <c r="BJ241" s="210" t="s">
        <v>24</v>
      </c>
      <c r="BK241" s="210" t="s">
        <v>24</v>
      </c>
      <c r="BL241" s="210" t="s">
        <v>24</v>
      </c>
      <c r="BM241" s="210"/>
      <c r="BN241" s="232"/>
      <c r="BO241" s="232"/>
      <c r="BP241" s="232"/>
      <c r="BQ241" s="232"/>
      <c r="BR241" s="232"/>
      <c r="BS241" s="232"/>
      <c r="BT241" s="232"/>
      <c r="BU241" s="232"/>
      <c r="BV241" s="232"/>
      <c r="BW241" s="232"/>
      <c r="BX241" s="232"/>
      <c r="BY241" s="232"/>
    </row>
    <row r="242" spans="1:77" ht="35.25" hidden="1" customHeight="1" x14ac:dyDescent="0.25">
      <c r="A242" s="210">
        <v>229</v>
      </c>
      <c r="B242" s="210" t="s">
        <v>99</v>
      </c>
      <c r="C242" s="210">
        <v>2</v>
      </c>
      <c r="D242" s="210">
        <v>0</v>
      </c>
      <c r="E242" s="210">
        <v>0</v>
      </c>
      <c r="F242" s="270" t="s">
        <v>1281</v>
      </c>
      <c r="G242" s="220" t="s">
        <v>1</v>
      </c>
      <c r="H242" s="220" t="s">
        <v>2</v>
      </c>
      <c r="I242" s="210" t="s">
        <v>12</v>
      </c>
      <c r="J242" s="270" t="s">
        <v>1282</v>
      </c>
      <c r="K242" s="270" t="s">
        <v>1283</v>
      </c>
      <c r="L242" s="270" t="s">
        <v>1284</v>
      </c>
      <c r="M242" s="232" t="s">
        <v>4</v>
      </c>
      <c r="N242" s="220" t="s">
        <v>14</v>
      </c>
      <c r="O242" s="213">
        <v>45019</v>
      </c>
      <c r="P242" s="251" t="s">
        <v>1003</v>
      </c>
      <c r="Q242" s="233" t="s">
        <v>114</v>
      </c>
      <c r="R242" s="233" t="s">
        <v>105</v>
      </c>
      <c r="S242" s="233" t="s">
        <v>105</v>
      </c>
      <c r="T242" s="213" t="s">
        <v>105</v>
      </c>
      <c r="U242" s="251">
        <v>45189</v>
      </c>
      <c r="V242" s="251" t="s">
        <v>105</v>
      </c>
      <c r="W242" s="251">
        <v>45189</v>
      </c>
      <c r="X242" s="251">
        <v>45201</v>
      </c>
      <c r="Y242" s="251">
        <v>45204</v>
      </c>
      <c r="Z242" s="236" t="s">
        <v>220</v>
      </c>
      <c r="AA242" s="232"/>
      <c r="AB242" s="270" t="s">
        <v>1282</v>
      </c>
      <c r="AC242" s="270" t="s">
        <v>1283</v>
      </c>
      <c r="AD242" s="270" t="s">
        <v>1284</v>
      </c>
      <c r="AE242" s="220" t="s">
        <v>12</v>
      </c>
      <c r="AF242" s="210" t="s">
        <v>4</v>
      </c>
      <c r="AG242" s="230">
        <v>0</v>
      </c>
      <c r="AH242" s="230">
        <v>0</v>
      </c>
      <c r="AI242" s="232" t="s">
        <v>23</v>
      </c>
      <c r="AJ242" s="230" t="s">
        <v>104</v>
      </c>
      <c r="AK242" s="210" t="s">
        <v>105</v>
      </c>
      <c r="AL242" s="210" t="s">
        <v>24</v>
      </c>
      <c r="AM242" s="210" t="s">
        <v>24</v>
      </c>
      <c r="AN242" s="210" t="s">
        <v>24</v>
      </c>
      <c r="AO242" s="232"/>
      <c r="AP242" s="219" t="s">
        <v>24</v>
      </c>
      <c r="AQ242" s="210" t="s">
        <v>24</v>
      </c>
      <c r="AR242" s="210" t="s">
        <v>24</v>
      </c>
      <c r="AS242" s="210" t="s">
        <v>24</v>
      </c>
      <c r="AT242" s="210" t="s">
        <v>24</v>
      </c>
      <c r="AU242" s="210" t="s">
        <v>24</v>
      </c>
      <c r="AV242" s="210" t="s">
        <v>24</v>
      </c>
      <c r="AW242" s="210" t="s">
        <v>24</v>
      </c>
      <c r="AX242" s="251">
        <v>45201</v>
      </c>
      <c r="AY242" s="213">
        <v>45204</v>
      </c>
      <c r="AZ242" s="236" t="s">
        <v>220</v>
      </c>
      <c r="BA242" s="235" t="s">
        <v>502</v>
      </c>
      <c r="BB242" s="217" t="s">
        <v>105</v>
      </c>
      <c r="BC242" s="218">
        <f t="shared" si="25"/>
        <v>185</v>
      </c>
      <c r="BD242" s="210" t="str">
        <f t="shared" si="24"/>
        <v>AA</v>
      </c>
      <c r="BE242" s="210" t="str">
        <f t="shared" si="23"/>
        <v>NÃO</v>
      </c>
      <c r="BF242" s="210" t="s">
        <v>24</v>
      </c>
      <c r="BG242" s="210" t="s">
        <v>24</v>
      </c>
      <c r="BH242" s="210" t="s">
        <v>24</v>
      </c>
      <c r="BI242" s="210" t="s">
        <v>24</v>
      </c>
      <c r="BJ242" s="210" t="s">
        <v>24</v>
      </c>
      <c r="BK242" s="210" t="s">
        <v>24</v>
      </c>
      <c r="BL242" s="210" t="s">
        <v>24</v>
      </c>
      <c r="BM242" s="265" t="s">
        <v>105</v>
      </c>
      <c r="BN242" s="232"/>
      <c r="BO242" s="232"/>
      <c r="BP242" s="232"/>
      <c r="BQ242" s="232"/>
      <c r="BR242" s="232"/>
      <c r="BS242" s="232"/>
      <c r="BT242" s="232"/>
      <c r="BU242" s="232"/>
      <c r="BV242" s="232"/>
      <c r="BW242" s="232"/>
      <c r="BX242" s="232"/>
      <c r="BY242" s="232"/>
    </row>
    <row r="243" spans="1:77" ht="35.25" hidden="1" customHeight="1" x14ac:dyDescent="0.25">
      <c r="A243" s="210">
        <v>230</v>
      </c>
      <c r="B243" s="210" t="s">
        <v>99</v>
      </c>
      <c r="C243" s="210">
        <v>2</v>
      </c>
      <c r="D243" s="210">
        <v>0</v>
      </c>
      <c r="E243" s="210">
        <v>0</v>
      </c>
      <c r="F243" s="270" t="s">
        <v>1285</v>
      </c>
      <c r="G243" s="220" t="s">
        <v>1</v>
      </c>
      <c r="H243" s="220" t="s">
        <v>2</v>
      </c>
      <c r="I243" s="210" t="s">
        <v>12</v>
      </c>
      <c r="J243" s="219" t="s">
        <v>1113</v>
      </c>
      <c r="K243" s="219" t="s">
        <v>1114</v>
      </c>
      <c r="L243" s="219" t="s">
        <v>1115</v>
      </c>
      <c r="M243" s="232" t="s">
        <v>4</v>
      </c>
      <c r="N243" s="220" t="s">
        <v>14</v>
      </c>
      <c r="O243" s="213">
        <v>45019</v>
      </c>
      <c r="P243" s="229">
        <v>45019</v>
      </c>
      <c r="Q243" s="213" t="s">
        <v>114</v>
      </c>
      <c r="R243" s="213" t="s">
        <v>105</v>
      </c>
      <c r="S243" s="233" t="s">
        <v>105</v>
      </c>
      <c r="T243" s="213" t="s">
        <v>105</v>
      </c>
      <c r="U243" s="229">
        <v>45093</v>
      </c>
      <c r="V243" s="233" t="s">
        <v>105</v>
      </c>
      <c r="W243" s="233">
        <v>45093</v>
      </c>
      <c r="X243" s="233">
        <v>45110</v>
      </c>
      <c r="Y243" s="229">
        <v>45110</v>
      </c>
      <c r="Z243" s="251">
        <v>45044</v>
      </c>
      <c r="AA243" s="232"/>
      <c r="AB243" s="219" t="s">
        <v>1113</v>
      </c>
      <c r="AC243" s="219" t="s">
        <v>1114</v>
      </c>
      <c r="AD243" s="219" t="s">
        <v>1115</v>
      </c>
      <c r="AE243" s="220" t="s">
        <v>12</v>
      </c>
      <c r="AF243" s="210" t="s">
        <v>4</v>
      </c>
      <c r="AG243" s="230">
        <v>0</v>
      </c>
      <c r="AH243" s="230">
        <v>0</v>
      </c>
      <c r="AI243" s="214" t="s">
        <v>23</v>
      </c>
      <c r="AJ243" s="230" t="s">
        <v>104</v>
      </c>
      <c r="AK243" s="210" t="s">
        <v>105</v>
      </c>
      <c r="AL243" s="210" t="s">
        <v>24</v>
      </c>
      <c r="AM243" s="210" t="s">
        <v>24</v>
      </c>
      <c r="AN243" s="210" t="s">
        <v>24</v>
      </c>
      <c r="AO243" s="232"/>
      <c r="AP243" s="219" t="s">
        <v>24</v>
      </c>
      <c r="AQ243" s="210" t="s">
        <v>24</v>
      </c>
      <c r="AR243" s="210" t="s">
        <v>24</v>
      </c>
      <c r="AS243" s="210" t="s">
        <v>24</v>
      </c>
      <c r="AT243" s="210" t="s">
        <v>24</v>
      </c>
      <c r="AU243" s="210" t="s">
        <v>24</v>
      </c>
      <c r="AV243" s="210" t="s">
        <v>24</v>
      </c>
      <c r="AW243" s="210" t="s">
        <v>24</v>
      </c>
      <c r="AX243" s="233">
        <v>45110</v>
      </c>
      <c r="AY243" s="213">
        <v>45110</v>
      </c>
      <c r="AZ243" s="233">
        <v>45063</v>
      </c>
      <c r="BA243" s="232" t="s">
        <v>30</v>
      </c>
      <c r="BB243" s="217" t="s">
        <v>105</v>
      </c>
      <c r="BC243" s="218">
        <f t="shared" si="25"/>
        <v>91</v>
      </c>
      <c r="BD243" s="210" t="str">
        <f t="shared" si="24"/>
        <v>AA</v>
      </c>
      <c r="BE243" s="210" t="str">
        <f t="shared" si="23"/>
        <v>NÃO</v>
      </c>
      <c r="BF243" s="210" t="s">
        <v>24</v>
      </c>
      <c r="BG243" s="210" t="s">
        <v>24</v>
      </c>
      <c r="BH243" s="210" t="s">
        <v>24</v>
      </c>
      <c r="BI243" s="210" t="s">
        <v>24</v>
      </c>
      <c r="BJ243" s="210" t="s">
        <v>24</v>
      </c>
      <c r="BK243" s="210" t="s">
        <v>24</v>
      </c>
      <c r="BL243" s="210" t="s">
        <v>24</v>
      </c>
      <c r="BM243" s="265" t="s">
        <v>105</v>
      </c>
      <c r="BN243" s="232"/>
      <c r="BO243" s="232"/>
      <c r="BP243" s="232"/>
      <c r="BQ243" s="232"/>
      <c r="BR243" s="232"/>
      <c r="BS243" s="232"/>
      <c r="BT243" s="232"/>
      <c r="BU243" s="232"/>
      <c r="BV243" s="232"/>
      <c r="BW243" s="232"/>
      <c r="BX243" s="232"/>
      <c r="BY243" s="232"/>
    </row>
    <row r="244" spans="1:77" ht="35.25" hidden="1" customHeight="1" x14ac:dyDescent="0.25">
      <c r="A244" s="210">
        <v>231</v>
      </c>
      <c r="B244" s="210" t="s">
        <v>99</v>
      </c>
      <c r="C244" s="210">
        <v>2</v>
      </c>
      <c r="D244" s="210">
        <v>0</v>
      </c>
      <c r="E244" s="210">
        <v>0</v>
      </c>
      <c r="F244" s="219" t="s">
        <v>1286</v>
      </c>
      <c r="G244" s="210" t="s">
        <v>1</v>
      </c>
      <c r="H244" s="210" t="s">
        <v>2</v>
      </c>
      <c r="I244" s="210" t="s">
        <v>12</v>
      </c>
      <c r="J244" s="219" t="s">
        <v>1287</v>
      </c>
      <c r="K244" s="219" t="s">
        <v>1288</v>
      </c>
      <c r="L244" s="219" t="s">
        <v>1289</v>
      </c>
      <c r="M244" s="232" t="s">
        <v>4</v>
      </c>
      <c r="N244" s="220" t="s">
        <v>14</v>
      </c>
      <c r="O244" s="213">
        <v>45019</v>
      </c>
      <c r="P244" s="213">
        <v>45019</v>
      </c>
      <c r="Q244" s="213" t="s">
        <v>114</v>
      </c>
      <c r="R244" s="213" t="s">
        <v>105</v>
      </c>
      <c r="S244" s="233" t="s">
        <v>105</v>
      </c>
      <c r="T244" s="213" t="s">
        <v>105</v>
      </c>
      <c r="U244" s="213">
        <v>45093</v>
      </c>
      <c r="V244" s="233" t="s">
        <v>105</v>
      </c>
      <c r="W244" s="233">
        <v>45093</v>
      </c>
      <c r="X244" s="233">
        <v>45110</v>
      </c>
      <c r="Y244" s="233">
        <v>45110</v>
      </c>
      <c r="Z244" s="251">
        <v>45044</v>
      </c>
      <c r="AA244" s="232"/>
      <c r="AB244" s="219" t="s">
        <v>1287</v>
      </c>
      <c r="AC244" s="219" t="s">
        <v>1288</v>
      </c>
      <c r="AD244" s="219" t="s">
        <v>1289</v>
      </c>
      <c r="AE244" s="220" t="s">
        <v>12</v>
      </c>
      <c r="AF244" s="210" t="s">
        <v>4</v>
      </c>
      <c r="AG244" s="230">
        <v>0</v>
      </c>
      <c r="AH244" s="230">
        <v>0</v>
      </c>
      <c r="AI244" s="214" t="s">
        <v>23</v>
      </c>
      <c r="AJ244" s="230" t="s">
        <v>104</v>
      </c>
      <c r="AK244" s="210" t="s">
        <v>105</v>
      </c>
      <c r="AL244" s="210" t="s">
        <v>24</v>
      </c>
      <c r="AM244" s="210" t="s">
        <v>24</v>
      </c>
      <c r="AN244" s="210" t="s">
        <v>24</v>
      </c>
      <c r="AO244" s="232"/>
      <c r="AP244" s="219" t="s">
        <v>24</v>
      </c>
      <c r="AQ244" s="210" t="s">
        <v>24</v>
      </c>
      <c r="AR244" s="210" t="s">
        <v>24</v>
      </c>
      <c r="AS244" s="210" t="s">
        <v>24</v>
      </c>
      <c r="AT244" s="210" t="s">
        <v>24</v>
      </c>
      <c r="AU244" s="210" t="s">
        <v>24</v>
      </c>
      <c r="AV244" s="210" t="s">
        <v>24</v>
      </c>
      <c r="AW244" s="210" t="s">
        <v>24</v>
      </c>
      <c r="AX244" s="233">
        <v>45110</v>
      </c>
      <c r="AY244" s="213">
        <v>45110</v>
      </c>
      <c r="AZ244" s="233">
        <v>45058</v>
      </c>
      <c r="BA244" s="232" t="s">
        <v>30</v>
      </c>
      <c r="BB244" s="217" t="s">
        <v>105</v>
      </c>
      <c r="BC244" s="218">
        <f t="shared" si="25"/>
        <v>91</v>
      </c>
      <c r="BD244" s="210" t="str">
        <f t="shared" si="24"/>
        <v>AA</v>
      </c>
      <c r="BE244" s="210" t="str">
        <f t="shared" si="23"/>
        <v>NÃO</v>
      </c>
      <c r="BF244" s="210" t="s">
        <v>24</v>
      </c>
      <c r="BG244" s="210" t="s">
        <v>24</v>
      </c>
      <c r="BH244" s="210" t="s">
        <v>24</v>
      </c>
      <c r="BI244" s="210" t="s">
        <v>24</v>
      </c>
      <c r="BJ244" s="210" t="s">
        <v>24</v>
      </c>
      <c r="BK244" s="210" t="s">
        <v>24</v>
      </c>
      <c r="BL244" s="210" t="s">
        <v>24</v>
      </c>
      <c r="BM244" s="265" t="s">
        <v>105</v>
      </c>
      <c r="BN244" s="232"/>
      <c r="BO244" s="232"/>
      <c r="BP244" s="232"/>
      <c r="BQ244" s="232"/>
      <c r="BR244" s="232"/>
      <c r="BS244" s="232"/>
      <c r="BT244" s="232"/>
      <c r="BU244" s="232"/>
      <c r="BV244" s="232"/>
      <c r="BW244" s="232"/>
      <c r="BX244" s="232"/>
      <c r="BY244" s="232"/>
    </row>
    <row r="245" spans="1:77" ht="35.25" customHeight="1" x14ac:dyDescent="0.25">
      <c r="A245" s="210">
        <v>232</v>
      </c>
      <c r="B245" s="210" t="s">
        <v>99</v>
      </c>
      <c r="C245" s="210">
        <v>2</v>
      </c>
      <c r="D245" s="210">
        <v>0</v>
      </c>
      <c r="E245" s="210">
        <v>0</v>
      </c>
      <c r="F245" s="219" t="s">
        <v>1290</v>
      </c>
      <c r="G245" s="210" t="s">
        <v>1</v>
      </c>
      <c r="H245" s="210" t="s">
        <v>2</v>
      </c>
      <c r="I245" s="210" t="s">
        <v>121</v>
      </c>
      <c r="J245" s="219" t="s">
        <v>1291</v>
      </c>
      <c r="K245" s="219" t="s">
        <v>1292</v>
      </c>
      <c r="L245" s="219" t="s">
        <v>1293</v>
      </c>
      <c r="M245" s="232" t="s">
        <v>4</v>
      </c>
      <c r="N245" s="232" t="s">
        <v>14</v>
      </c>
      <c r="O245" s="213">
        <v>45033</v>
      </c>
      <c r="P245" s="233">
        <v>45033</v>
      </c>
      <c r="Q245" s="213" t="s">
        <v>114</v>
      </c>
      <c r="R245" s="213" t="s">
        <v>105</v>
      </c>
      <c r="S245" s="213" t="s">
        <v>105</v>
      </c>
      <c r="T245" s="213" t="s">
        <v>105</v>
      </c>
      <c r="U245" s="233" t="s">
        <v>267</v>
      </c>
      <c r="V245" s="213" t="s">
        <v>105</v>
      </c>
      <c r="W245" s="213">
        <v>45049</v>
      </c>
      <c r="X245" s="213">
        <v>45068</v>
      </c>
      <c r="Y245" s="213">
        <v>45068</v>
      </c>
      <c r="Z245" s="233">
        <v>45071</v>
      </c>
      <c r="AA245" s="232"/>
      <c r="AB245" s="219" t="s">
        <v>1294</v>
      </c>
      <c r="AC245" s="283">
        <v>67015619</v>
      </c>
      <c r="AD245" s="219" t="s">
        <v>1295</v>
      </c>
      <c r="AE245" s="220" t="s">
        <v>3</v>
      </c>
      <c r="AF245" s="210" t="s">
        <v>4</v>
      </c>
      <c r="AG245" s="291">
        <f>AH245-30000</f>
        <v>587.63999999999942</v>
      </c>
      <c r="AH245" s="230">
        <v>30587.64</v>
      </c>
      <c r="AI245" s="214" t="s">
        <v>6</v>
      </c>
      <c r="AJ245" s="230" t="s">
        <v>104</v>
      </c>
      <c r="AK245" s="210" t="s">
        <v>105</v>
      </c>
      <c r="AL245" s="232" t="s">
        <v>105</v>
      </c>
      <c r="AM245" s="210" t="s">
        <v>105</v>
      </c>
      <c r="AN245" s="210" t="s">
        <v>106</v>
      </c>
      <c r="AO245" s="250"/>
      <c r="AP245" s="234" t="s">
        <v>1296</v>
      </c>
      <c r="AQ245" s="250" t="s">
        <v>105</v>
      </c>
      <c r="AR245" s="250" t="s">
        <v>105</v>
      </c>
      <c r="AS245" s="210" t="s">
        <v>105</v>
      </c>
      <c r="AT245" s="210" t="s">
        <v>105</v>
      </c>
      <c r="AU245" s="213">
        <v>45351</v>
      </c>
      <c r="AV245" s="210" t="s">
        <v>105</v>
      </c>
      <c r="AW245" s="210" t="s">
        <v>105</v>
      </c>
      <c r="AX245" s="213">
        <v>45359</v>
      </c>
      <c r="AY245" s="221">
        <v>45359</v>
      </c>
      <c r="AZ245" s="233">
        <v>45071</v>
      </c>
      <c r="BA245" s="232" t="s">
        <v>30</v>
      </c>
      <c r="BB245" s="217" t="s">
        <v>105</v>
      </c>
      <c r="BC245" s="218">
        <f t="shared" si="25"/>
        <v>326</v>
      </c>
      <c r="BD245" s="210" t="str">
        <f t="shared" si="24"/>
        <v>INDENIZAÇÃO</v>
      </c>
      <c r="BE245" s="210" t="str">
        <f t="shared" si="23"/>
        <v>NÃO</v>
      </c>
      <c r="BF245" s="210" t="s">
        <v>24</v>
      </c>
      <c r="BG245" s="210" t="s">
        <v>24</v>
      </c>
      <c r="BH245" s="210" t="s">
        <v>24</v>
      </c>
      <c r="BI245" s="210" t="s">
        <v>105</v>
      </c>
      <c r="BJ245" s="210" t="s">
        <v>105</v>
      </c>
      <c r="BK245" s="213">
        <v>45510</v>
      </c>
      <c r="BL245" s="210" t="s">
        <v>105</v>
      </c>
      <c r="BM245" s="241" t="s">
        <v>220</v>
      </c>
      <c r="BN245" s="232"/>
      <c r="BO245" s="232"/>
      <c r="BP245" s="232"/>
      <c r="BQ245" s="232"/>
      <c r="BR245" s="232"/>
      <c r="BS245" s="232"/>
      <c r="BT245" s="232"/>
      <c r="BU245" s="232"/>
      <c r="BV245" s="232"/>
      <c r="BW245" s="232"/>
      <c r="BX245" s="232"/>
      <c r="BY245" s="232"/>
    </row>
    <row r="246" spans="1:77" ht="35.25" customHeight="1" x14ac:dyDescent="0.25">
      <c r="A246" s="210">
        <v>233</v>
      </c>
      <c r="B246" s="210" t="s">
        <v>99</v>
      </c>
      <c r="C246" s="210">
        <v>2</v>
      </c>
      <c r="D246" s="210">
        <v>0</v>
      </c>
      <c r="E246" s="210">
        <v>0</v>
      </c>
      <c r="F246" s="270" t="s">
        <v>1297</v>
      </c>
      <c r="G246" s="220" t="s">
        <v>1</v>
      </c>
      <c r="H246" s="220" t="s">
        <v>2</v>
      </c>
      <c r="I246" s="210" t="s">
        <v>12</v>
      </c>
      <c r="J246" s="270" t="s">
        <v>1298</v>
      </c>
      <c r="K246" s="270" t="s">
        <v>1299</v>
      </c>
      <c r="L246" s="270" t="s">
        <v>1300</v>
      </c>
      <c r="M246" s="232" t="s">
        <v>4</v>
      </c>
      <c r="N246" s="246" t="s">
        <v>962</v>
      </c>
      <c r="O246" s="213">
        <v>45033</v>
      </c>
      <c r="P246" s="213" t="s">
        <v>24</v>
      </c>
      <c r="Q246" s="213" t="s">
        <v>24</v>
      </c>
      <c r="R246" s="213" t="s">
        <v>24</v>
      </c>
      <c r="S246" s="213" t="s">
        <v>24</v>
      </c>
      <c r="T246" s="213" t="s">
        <v>24</v>
      </c>
      <c r="U246" s="213" t="s">
        <v>24</v>
      </c>
      <c r="V246" s="213" t="s">
        <v>24</v>
      </c>
      <c r="W246" s="213" t="s">
        <v>24</v>
      </c>
      <c r="X246" s="213" t="s">
        <v>24</v>
      </c>
      <c r="Y246" s="213" t="s">
        <v>24</v>
      </c>
      <c r="Z246" s="213" t="s">
        <v>24</v>
      </c>
      <c r="AA246" s="232" t="s">
        <v>963</v>
      </c>
      <c r="AB246" s="270" t="s">
        <v>1298</v>
      </c>
      <c r="AC246" s="270" t="s">
        <v>1299</v>
      </c>
      <c r="AD246" s="270" t="s">
        <v>1300</v>
      </c>
      <c r="AE246" s="220" t="s">
        <v>12</v>
      </c>
      <c r="AF246" s="232" t="s">
        <v>4</v>
      </c>
      <c r="AG246" s="291">
        <f>AH246-30000</f>
        <v>400</v>
      </c>
      <c r="AH246" s="291">
        <v>30400</v>
      </c>
      <c r="AI246" s="232" t="s">
        <v>6</v>
      </c>
      <c r="AJ246" s="230" t="s">
        <v>104</v>
      </c>
      <c r="AK246" s="232" t="s">
        <v>105</v>
      </c>
      <c r="AL246" s="232" t="s">
        <v>105</v>
      </c>
      <c r="AM246" s="232" t="s">
        <v>105</v>
      </c>
      <c r="AN246" s="232" t="s">
        <v>106</v>
      </c>
      <c r="AO246" s="232"/>
      <c r="AP246" s="249" t="s">
        <v>1301</v>
      </c>
      <c r="AQ246" s="250" t="s">
        <v>105</v>
      </c>
      <c r="AR246" s="250" t="s">
        <v>105</v>
      </c>
      <c r="AS246" s="250" t="s">
        <v>105</v>
      </c>
      <c r="AT246" s="250" t="s">
        <v>105</v>
      </c>
      <c r="AU246" s="213">
        <v>45273</v>
      </c>
      <c r="AV246" s="250" t="s">
        <v>105</v>
      </c>
      <c r="AW246" s="228" t="s">
        <v>105</v>
      </c>
      <c r="AX246" s="229">
        <v>45294</v>
      </c>
      <c r="AY246" s="236">
        <v>45300</v>
      </c>
      <c r="AZ246" s="233">
        <v>45041</v>
      </c>
      <c r="BA246" s="232" t="s">
        <v>30</v>
      </c>
      <c r="BB246" s="217" t="s">
        <v>105</v>
      </c>
      <c r="BC246" s="218">
        <f t="shared" si="25"/>
        <v>267</v>
      </c>
      <c r="BD246" s="210" t="str">
        <f t="shared" si="24"/>
        <v>INDENIZAÇÃO</v>
      </c>
      <c r="BE246" s="210" t="str">
        <f t="shared" si="23"/>
        <v>SIM</v>
      </c>
      <c r="BF246" s="210" t="s">
        <v>105</v>
      </c>
      <c r="BG246" s="229">
        <v>45387</v>
      </c>
      <c r="BH246" s="229">
        <v>45390</v>
      </c>
      <c r="BI246" s="210" t="s">
        <v>105</v>
      </c>
      <c r="BJ246" s="210" t="s">
        <v>105</v>
      </c>
      <c r="BK246" s="213">
        <v>45510</v>
      </c>
      <c r="BL246" s="210" t="s">
        <v>105</v>
      </c>
      <c r="BM246" s="266" t="s">
        <v>105</v>
      </c>
      <c r="BN246" s="232"/>
      <c r="BO246" s="232"/>
      <c r="BP246" s="232"/>
      <c r="BQ246" s="232"/>
      <c r="BR246" s="232"/>
      <c r="BS246" s="232"/>
      <c r="BT246" s="232"/>
      <c r="BU246" s="232"/>
      <c r="BV246" s="232"/>
      <c r="BW246" s="232"/>
      <c r="BX246" s="232"/>
      <c r="BY246" s="232"/>
    </row>
    <row r="247" spans="1:77" ht="35.25" hidden="1" customHeight="1" x14ac:dyDescent="0.25">
      <c r="A247" s="210">
        <v>234</v>
      </c>
      <c r="B247" s="210" t="s">
        <v>99</v>
      </c>
      <c r="C247" s="210">
        <v>2</v>
      </c>
      <c r="D247" s="210">
        <v>0</v>
      </c>
      <c r="E247" s="210">
        <v>0</v>
      </c>
      <c r="F247" s="270" t="s">
        <v>1302</v>
      </c>
      <c r="G247" s="220" t="s">
        <v>1</v>
      </c>
      <c r="H247" s="220" t="s">
        <v>2</v>
      </c>
      <c r="I247" s="210" t="s">
        <v>12</v>
      </c>
      <c r="J247" s="270" t="s">
        <v>1303</v>
      </c>
      <c r="K247" s="270" t="s">
        <v>1304</v>
      </c>
      <c r="L247" s="270" t="s">
        <v>1305</v>
      </c>
      <c r="M247" s="232" t="s">
        <v>4</v>
      </c>
      <c r="N247" s="220" t="s">
        <v>14</v>
      </c>
      <c r="O247" s="213">
        <v>45033</v>
      </c>
      <c r="P247" s="233">
        <v>45033</v>
      </c>
      <c r="Q247" s="213" t="s">
        <v>114</v>
      </c>
      <c r="R247" s="213" t="s">
        <v>105</v>
      </c>
      <c r="S247" s="213" t="s">
        <v>105</v>
      </c>
      <c r="T247" s="213" t="s">
        <v>105</v>
      </c>
      <c r="U247" s="233" t="s">
        <v>267</v>
      </c>
      <c r="V247" s="213" t="s">
        <v>105</v>
      </c>
      <c r="W247" s="213">
        <v>45049</v>
      </c>
      <c r="X247" s="213">
        <v>45068</v>
      </c>
      <c r="Y247" s="213">
        <v>45068</v>
      </c>
      <c r="Z247" s="233">
        <v>45071</v>
      </c>
      <c r="AA247" s="232"/>
      <c r="AB247" s="270" t="s">
        <v>1303</v>
      </c>
      <c r="AC247" s="270" t="s">
        <v>1304</v>
      </c>
      <c r="AD247" s="270" t="s">
        <v>1305</v>
      </c>
      <c r="AE247" s="220" t="s">
        <v>12</v>
      </c>
      <c r="AF247" s="210" t="s">
        <v>4</v>
      </c>
      <c r="AG247" s="291">
        <f>AH247-30000</f>
        <v>400</v>
      </c>
      <c r="AH247" s="291">
        <v>30400</v>
      </c>
      <c r="AI247" s="214" t="s">
        <v>23</v>
      </c>
      <c r="AJ247" s="230" t="s">
        <v>104</v>
      </c>
      <c r="AK247" s="210" t="s">
        <v>105</v>
      </c>
      <c r="AL247" s="210" t="s">
        <v>24</v>
      </c>
      <c r="AM247" s="210" t="s">
        <v>24</v>
      </c>
      <c r="AN247" s="210" t="s">
        <v>24</v>
      </c>
      <c r="AO247" s="232"/>
      <c r="AP247" s="219" t="s">
        <v>24</v>
      </c>
      <c r="AQ247" s="210" t="s">
        <v>24</v>
      </c>
      <c r="AR247" s="210" t="s">
        <v>24</v>
      </c>
      <c r="AS247" s="210" t="s">
        <v>24</v>
      </c>
      <c r="AT247" s="210" t="s">
        <v>24</v>
      </c>
      <c r="AU247" s="210" t="s">
        <v>24</v>
      </c>
      <c r="AV247" s="210" t="s">
        <v>24</v>
      </c>
      <c r="AW247" s="210" t="s">
        <v>24</v>
      </c>
      <c r="AX247" s="213">
        <v>45068</v>
      </c>
      <c r="AY247" s="213">
        <v>45068</v>
      </c>
      <c r="AZ247" s="233">
        <v>45071</v>
      </c>
      <c r="BA247" s="232" t="s">
        <v>30</v>
      </c>
      <c r="BB247" s="217" t="s">
        <v>105</v>
      </c>
      <c r="BC247" s="218">
        <f t="shared" si="25"/>
        <v>35</v>
      </c>
      <c r="BD247" s="210" t="str">
        <f t="shared" si="24"/>
        <v>AA</v>
      </c>
      <c r="BE247" s="210" t="str">
        <f t="shared" si="23"/>
        <v>NÃO</v>
      </c>
      <c r="BF247" s="210" t="s">
        <v>24</v>
      </c>
      <c r="BG247" s="210" t="s">
        <v>24</v>
      </c>
      <c r="BH247" s="210" t="s">
        <v>24</v>
      </c>
      <c r="BI247" s="210" t="s">
        <v>24</v>
      </c>
      <c r="BJ247" s="210" t="s">
        <v>24</v>
      </c>
      <c r="BK247" s="210" t="s">
        <v>24</v>
      </c>
      <c r="BL247" s="210" t="s">
        <v>24</v>
      </c>
      <c r="BM247" s="265" t="s">
        <v>105</v>
      </c>
      <c r="BN247" s="232"/>
      <c r="BO247" s="232"/>
      <c r="BP247" s="232"/>
      <c r="BQ247" s="232"/>
      <c r="BR247" s="232"/>
      <c r="BS247" s="232"/>
      <c r="BT247" s="232"/>
      <c r="BU247" s="232"/>
      <c r="BV247" s="232"/>
      <c r="BW247" s="232"/>
      <c r="BX247" s="232"/>
      <c r="BY247" s="232"/>
    </row>
    <row r="248" spans="1:77" ht="35.25" hidden="1" customHeight="1" x14ac:dyDescent="0.25">
      <c r="A248" s="210">
        <v>235</v>
      </c>
      <c r="B248" s="210" t="s">
        <v>99</v>
      </c>
      <c r="C248" s="210">
        <v>2</v>
      </c>
      <c r="D248" s="210">
        <v>0</v>
      </c>
      <c r="E248" s="210">
        <v>0</v>
      </c>
      <c r="F248" s="270" t="s">
        <v>1306</v>
      </c>
      <c r="G248" s="220" t="s">
        <v>1</v>
      </c>
      <c r="H248" s="220" t="s">
        <v>2</v>
      </c>
      <c r="I248" s="210" t="s">
        <v>12</v>
      </c>
      <c r="J248" s="270" t="s">
        <v>1307</v>
      </c>
      <c r="K248" s="270" t="s">
        <v>1308</v>
      </c>
      <c r="L248" s="270" t="s">
        <v>1309</v>
      </c>
      <c r="M248" s="232" t="s">
        <v>4</v>
      </c>
      <c r="N248" s="220" t="s">
        <v>14</v>
      </c>
      <c r="O248" s="213">
        <v>45019</v>
      </c>
      <c r="P248" s="229">
        <v>45019</v>
      </c>
      <c r="Q248" s="213" t="s">
        <v>114</v>
      </c>
      <c r="R248" s="213" t="s">
        <v>105</v>
      </c>
      <c r="S248" s="233" t="s">
        <v>105</v>
      </c>
      <c r="T248" s="213" t="s">
        <v>105</v>
      </c>
      <c r="U248" s="229">
        <v>45093</v>
      </c>
      <c r="V248" s="233" t="s">
        <v>105</v>
      </c>
      <c r="W248" s="233">
        <v>45093</v>
      </c>
      <c r="X248" s="233">
        <v>45110</v>
      </c>
      <c r="Y248" s="229">
        <v>45112</v>
      </c>
      <c r="Z248" s="251">
        <v>45044</v>
      </c>
      <c r="AA248" s="232"/>
      <c r="AB248" s="270" t="s">
        <v>1307</v>
      </c>
      <c r="AC248" s="270" t="s">
        <v>1308</v>
      </c>
      <c r="AD248" s="270" t="s">
        <v>1309</v>
      </c>
      <c r="AE248" s="220" t="s">
        <v>12</v>
      </c>
      <c r="AF248" s="210" t="s">
        <v>4</v>
      </c>
      <c r="AG248" s="230">
        <v>0</v>
      </c>
      <c r="AH248" s="230">
        <v>0</v>
      </c>
      <c r="AI248" s="214" t="s">
        <v>23</v>
      </c>
      <c r="AJ248" s="230" t="s">
        <v>104</v>
      </c>
      <c r="AK248" s="210" t="s">
        <v>105</v>
      </c>
      <c r="AL248" s="210" t="s">
        <v>24</v>
      </c>
      <c r="AM248" s="210" t="s">
        <v>24</v>
      </c>
      <c r="AN248" s="210" t="s">
        <v>24</v>
      </c>
      <c r="AO248" s="232"/>
      <c r="AP248" s="219" t="s">
        <v>24</v>
      </c>
      <c r="AQ248" s="210" t="s">
        <v>24</v>
      </c>
      <c r="AR248" s="210" t="s">
        <v>24</v>
      </c>
      <c r="AS248" s="210" t="s">
        <v>24</v>
      </c>
      <c r="AT248" s="210" t="s">
        <v>24</v>
      </c>
      <c r="AU248" s="210" t="s">
        <v>24</v>
      </c>
      <c r="AV248" s="210" t="s">
        <v>24</v>
      </c>
      <c r="AW248" s="210" t="s">
        <v>24</v>
      </c>
      <c r="AX248" s="233">
        <v>45110</v>
      </c>
      <c r="AY248" s="213">
        <v>45112</v>
      </c>
      <c r="AZ248" s="233">
        <v>45063</v>
      </c>
      <c r="BA248" s="232" t="s">
        <v>30</v>
      </c>
      <c r="BB248" s="217" t="s">
        <v>105</v>
      </c>
      <c r="BC248" s="218">
        <f t="shared" si="25"/>
        <v>93</v>
      </c>
      <c r="BD248" s="210" t="str">
        <f t="shared" si="24"/>
        <v>AA</v>
      </c>
      <c r="BE248" s="210" t="str">
        <f t="shared" si="23"/>
        <v>NÃO</v>
      </c>
      <c r="BF248" s="210" t="s">
        <v>24</v>
      </c>
      <c r="BG248" s="210" t="s">
        <v>24</v>
      </c>
      <c r="BH248" s="210" t="s">
        <v>24</v>
      </c>
      <c r="BI248" s="210" t="s">
        <v>24</v>
      </c>
      <c r="BJ248" s="210" t="s">
        <v>24</v>
      </c>
      <c r="BK248" s="210" t="s">
        <v>24</v>
      </c>
      <c r="BL248" s="210" t="s">
        <v>24</v>
      </c>
      <c r="BM248" s="265" t="s">
        <v>105</v>
      </c>
      <c r="BN248" s="232"/>
      <c r="BO248" s="232"/>
      <c r="BP248" s="232"/>
      <c r="BQ248" s="232"/>
      <c r="BR248" s="232"/>
      <c r="BS248" s="232"/>
      <c r="BT248" s="232"/>
      <c r="BU248" s="232"/>
      <c r="BV248" s="232"/>
      <c r="BW248" s="232"/>
      <c r="BX248" s="232"/>
      <c r="BY248" s="232"/>
    </row>
    <row r="249" spans="1:77" ht="35.25" customHeight="1" x14ac:dyDescent="0.25">
      <c r="A249" s="210">
        <v>236</v>
      </c>
      <c r="B249" s="210" t="s">
        <v>99</v>
      </c>
      <c r="C249" s="210">
        <v>2</v>
      </c>
      <c r="D249" s="210">
        <v>0</v>
      </c>
      <c r="E249" s="210">
        <v>0</v>
      </c>
      <c r="F249" s="219" t="s">
        <v>1310</v>
      </c>
      <c r="G249" s="210" t="s">
        <v>1</v>
      </c>
      <c r="H249" s="210" t="s">
        <v>2</v>
      </c>
      <c r="I249" s="210" t="s">
        <v>12</v>
      </c>
      <c r="J249" s="219" t="s">
        <v>1311</v>
      </c>
      <c r="K249" s="219" t="s">
        <v>1312</v>
      </c>
      <c r="L249" s="219" t="s">
        <v>1313</v>
      </c>
      <c r="M249" s="232" t="s">
        <v>4</v>
      </c>
      <c r="N249" s="232" t="s">
        <v>5</v>
      </c>
      <c r="O249" s="213">
        <v>45065</v>
      </c>
      <c r="P249" s="213" t="s">
        <v>24</v>
      </c>
      <c r="Q249" s="213" t="s">
        <v>24</v>
      </c>
      <c r="R249" s="213" t="s">
        <v>24</v>
      </c>
      <c r="S249" s="213" t="s">
        <v>24</v>
      </c>
      <c r="T249" s="213" t="s">
        <v>105</v>
      </c>
      <c r="U249" s="213" t="s">
        <v>24</v>
      </c>
      <c r="V249" s="213" t="s">
        <v>24</v>
      </c>
      <c r="W249" s="213" t="s">
        <v>24</v>
      </c>
      <c r="X249" s="213" t="s">
        <v>24</v>
      </c>
      <c r="Y249" s="213" t="s">
        <v>24</v>
      </c>
      <c r="Z249" s="213" t="s">
        <v>24</v>
      </c>
      <c r="AA249" s="232"/>
      <c r="AB249" s="219" t="s">
        <v>1311</v>
      </c>
      <c r="AC249" s="219" t="s">
        <v>1312</v>
      </c>
      <c r="AD249" s="219" t="s">
        <v>1313</v>
      </c>
      <c r="AE249" s="220" t="s">
        <v>12</v>
      </c>
      <c r="AF249" s="232" t="s">
        <v>4</v>
      </c>
      <c r="AG249" s="230">
        <f>AH249-30000</f>
        <v>710.88999999999942</v>
      </c>
      <c r="AH249" s="230">
        <v>30710.89</v>
      </c>
      <c r="AI249" s="232" t="s">
        <v>6</v>
      </c>
      <c r="AJ249" s="230" t="s">
        <v>104</v>
      </c>
      <c r="AK249" s="232" t="s">
        <v>105</v>
      </c>
      <c r="AL249" s="210" t="s">
        <v>105</v>
      </c>
      <c r="AM249" s="210" t="s">
        <v>105</v>
      </c>
      <c r="AN249" s="210" t="s">
        <v>106</v>
      </c>
      <c r="AO249" s="232" t="s">
        <v>1314</v>
      </c>
      <c r="AP249" s="234" t="s">
        <v>1315</v>
      </c>
      <c r="AQ249" s="250" t="s">
        <v>105</v>
      </c>
      <c r="AR249" s="250" t="s">
        <v>105</v>
      </c>
      <c r="AS249" s="210" t="s">
        <v>105</v>
      </c>
      <c r="AT249" s="210" t="s">
        <v>105</v>
      </c>
      <c r="AU249" s="213">
        <v>45573</v>
      </c>
      <c r="AV249" s="210" t="s">
        <v>105</v>
      </c>
      <c r="AW249" s="210" t="s">
        <v>105</v>
      </c>
      <c r="AX249" s="233">
        <v>45579</v>
      </c>
      <c r="AY249" s="221">
        <v>45579</v>
      </c>
      <c r="AZ249" s="221" t="s">
        <v>220</v>
      </c>
      <c r="BA249" s="241" t="s">
        <v>502</v>
      </c>
      <c r="BB249" s="217" t="s">
        <v>105</v>
      </c>
      <c r="BC249" s="218">
        <f t="shared" si="25"/>
        <v>514</v>
      </c>
      <c r="BD249" s="210" t="str">
        <f t="shared" si="24"/>
        <v>INDENIZAÇÃO</v>
      </c>
      <c r="BE249" s="210" t="str">
        <f t="shared" si="23"/>
        <v>NÃO</v>
      </c>
      <c r="BF249" s="210" t="s">
        <v>24</v>
      </c>
      <c r="BG249" s="210" t="s">
        <v>24</v>
      </c>
      <c r="BH249" s="210" t="s">
        <v>24</v>
      </c>
      <c r="BI249" s="210" t="s">
        <v>105</v>
      </c>
      <c r="BJ249" s="210" t="s">
        <v>105</v>
      </c>
      <c r="BK249" s="213">
        <v>45621</v>
      </c>
      <c r="BL249" s="210" t="s">
        <v>105</v>
      </c>
      <c r="BM249" s="241" t="s">
        <v>220</v>
      </c>
      <c r="BN249" s="210"/>
      <c r="BO249" s="210"/>
      <c r="BP249" s="232"/>
      <c r="BQ249" s="232"/>
      <c r="BR249" s="232"/>
      <c r="BS249" s="232"/>
      <c r="BT249" s="232"/>
      <c r="BU249" s="232"/>
      <c r="BV249" s="232"/>
      <c r="BW249" s="232"/>
      <c r="BX249" s="232"/>
      <c r="BY249" s="232"/>
    </row>
    <row r="250" spans="1:77" ht="35.25" hidden="1" customHeight="1" x14ac:dyDescent="0.25">
      <c r="A250" s="210">
        <v>237</v>
      </c>
      <c r="B250" s="210" t="s">
        <v>99</v>
      </c>
      <c r="C250" s="210">
        <v>2</v>
      </c>
      <c r="D250" s="210">
        <v>0</v>
      </c>
      <c r="E250" s="210">
        <v>0</v>
      </c>
      <c r="F250" s="219" t="s">
        <v>1316</v>
      </c>
      <c r="G250" s="210" t="s">
        <v>1</v>
      </c>
      <c r="H250" s="210" t="s">
        <v>2</v>
      </c>
      <c r="I250" s="210" t="s">
        <v>12</v>
      </c>
      <c r="J250" s="219" t="s">
        <v>1317</v>
      </c>
      <c r="K250" s="219" t="s">
        <v>1318</v>
      </c>
      <c r="L250" s="219" t="s">
        <v>1319</v>
      </c>
      <c r="M250" s="232" t="s">
        <v>4</v>
      </c>
      <c r="N250" s="220" t="s">
        <v>14</v>
      </c>
      <c r="O250" s="213">
        <v>45019</v>
      </c>
      <c r="P250" s="229">
        <v>45019</v>
      </c>
      <c r="Q250" s="213" t="s">
        <v>114</v>
      </c>
      <c r="R250" s="213" t="s">
        <v>105</v>
      </c>
      <c r="S250" s="233" t="s">
        <v>105</v>
      </c>
      <c r="T250" s="213" t="s">
        <v>105</v>
      </c>
      <c r="U250" s="229">
        <v>45093</v>
      </c>
      <c r="V250" s="233" t="s">
        <v>105</v>
      </c>
      <c r="W250" s="233">
        <v>45093</v>
      </c>
      <c r="X250" s="233">
        <v>45110</v>
      </c>
      <c r="Y250" s="229">
        <v>45110</v>
      </c>
      <c r="Z250" s="233">
        <v>45058</v>
      </c>
      <c r="AA250" s="232"/>
      <c r="AB250" s="219" t="s">
        <v>1317</v>
      </c>
      <c r="AC250" s="219" t="s">
        <v>1318</v>
      </c>
      <c r="AD250" s="219" t="s">
        <v>1319</v>
      </c>
      <c r="AE250" s="220" t="s">
        <v>12</v>
      </c>
      <c r="AF250" s="210" t="s">
        <v>4</v>
      </c>
      <c r="AG250" s="230">
        <v>0</v>
      </c>
      <c r="AH250" s="230">
        <v>0</v>
      </c>
      <c r="AI250" s="214" t="s">
        <v>23</v>
      </c>
      <c r="AJ250" s="230" t="s">
        <v>104</v>
      </c>
      <c r="AK250" s="210" t="s">
        <v>105</v>
      </c>
      <c r="AL250" s="210" t="s">
        <v>24</v>
      </c>
      <c r="AM250" s="210" t="s">
        <v>24</v>
      </c>
      <c r="AN250" s="210" t="s">
        <v>24</v>
      </c>
      <c r="AO250" s="232"/>
      <c r="AP250" s="219" t="s">
        <v>24</v>
      </c>
      <c r="AQ250" s="210" t="s">
        <v>24</v>
      </c>
      <c r="AR250" s="210" t="s">
        <v>24</v>
      </c>
      <c r="AS250" s="210" t="s">
        <v>24</v>
      </c>
      <c r="AT250" s="210" t="s">
        <v>24</v>
      </c>
      <c r="AU250" s="210" t="s">
        <v>24</v>
      </c>
      <c r="AV250" s="210" t="s">
        <v>24</v>
      </c>
      <c r="AW250" s="210" t="s">
        <v>24</v>
      </c>
      <c r="AX250" s="233">
        <v>45110</v>
      </c>
      <c r="AY250" s="213">
        <v>45110</v>
      </c>
      <c r="AZ250" s="233">
        <v>45058</v>
      </c>
      <c r="BA250" s="232" t="s">
        <v>30</v>
      </c>
      <c r="BB250" s="217" t="s">
        <v>105</v>
      </c>
      <c r="BC250" s="218">
        <f t="shared" si="25"/>
        <v>91</v>
      </c>
      <c r="BD250" s="210" t="str">
        <f t="shared" si="24"/>
        <v>AA</v>
      </c>
      <c r="BE250" s="210" t="str">
        <f t="shared" si="23"/>
        <v>NÃO</v>
      </c>
      <c r="BF250" s="210" t="s">
        <v>24</v>
      </c>
      <c r="BG250" s="210" t="s">
        <v>24</v>
      </c>
      <c r="BH250" s="210" t="s">
        <v>24</v>
      </c>
      <c r="BI250" s="210" t="s">
        <v>24</v>
      </c>
      <c r="BJ250" s="210" t="s">
        <v>24</v>
      </c>
      <c r="BK250" s="210" t="s">
        <v>24</v>
      </c>
      <c r="BL250" s="210" t="s">
        <v>24</v>
      </c>
      <c r="BM250" s="265" t="s">
        <v>105</v>
      </c>
      <c r="BN250" s="232"/>
      <c r="BO250" s="232"/>
      <c r="BP250" s="232"/>
      <c r="BQ250" s="232"/>
      <c r="BR250" s="232"/>
      <c r="BS250" s="232"/>
      <c r="BT250" s="232"/>
      <c r="BU250" s="232"/>
      <c r="BV250" s="232"/>
      <c r="BW250" s="232"/>
      <c r="BX250" s="232"/>
      <c r="BY250" s="232"/>
    </row>
    <row r="251" spans="1:77" ht="35.25" customHeight="1" x14ac:dyDescent="0.25">
      <c r="A251" s="210">
        <v>238</v>
      </c>
      <c r="B251" s="210" t="s">
        <v>99</v>
      </c>
      <c r="C251" s="210">
        <v>2</v>
      </c>
      <c r="D251" s="210">
        <v>0</v>
      </c>
      <c r="E251" s="210">
        <v>0</v>
      </c>
      <c r="F251" s="219" t="s">
        <v>1320</v>
      </c>
      <c r="G251" s="210" t="s">
        <v>1</v>
      </c>
      <c r="H251" s="210" t="s">
        <v>2</v>
      </c>
      <c r="I251" s="210" t="s">
        <v>12</v>
      </c>
      <c r="J251" s="219" t="s">
        <v>1321</v>
      </c>
      <c r="K251" s="219" t="s">
        <v>1322</v>
      </c>
      <c r="L251" s="219" t="s">
        <v>1323</v>
      </c>
      <c r="M251" s="232" t="s">
        <v>4</v>
      </c>
      <c r="N251" s="246" t="s">
        <v>962</v>
      </c>
      <c r="O251" s="213">
        <v>45065</v>
      </c>
      <c r="P251" s="213" t="s">
        <v>24</v>
      </c>
      <c r="Q251" s="213" t="s">
        <v>24</v>
      </c>
      <c r="R251" s="213" t="s">
        <v>24</v>
      </c>
      <c r="S251" s="213" t="s">
        <v>24</v>
      </c>
      <c r="T251" s="213" t="s">
        <v>24</v>
      </c>
      <c r="U251" s="213" t="s">
        <v>24</v>
      </c>
      <c r="V251" s="213" t="s">
        <v>24</v>
      </c>
      <c r="W251" s="213" t="s">
        <v>24</v>
      </c>
      <c r="X251" s="213" t="s">
        <v>24</v>
      </c>
      <c r="Y251" s="213" t="s">
        <v>24</v>
      </c>
      <c r="Z251" s="213" t="s">
        <v>24</v>
      </c>
      <c r="AA251" s="232" t="s">
        <v>963</v>
      </c>
      <c r="AB251" s="219" t="s">
        <v>1321</v>
      </c>
      <c r="AC251" s="219" t="s">
        <v>1322</v>
      </c>
      <c r="AD251" s="219" t="s">
        <v>1323</v>
      </c>
      <c r="AE251" s="220" t="s">
        <v>12</v>
      </c>
      <c r="AF251" s="232" t="s">
        <v>4</v>
      </c>
      <c r="AG251" s="230">
        <f>AH251-30000</f>
        <v>320</v>
      </c>
      <c r="AH251" s="230">
        <v>30320</v>
      </c>
      <c r="AI251" s="232" t="s">
        <v>6</v>
      </c>
      <c r="AJ251" s="230" t="s">
        <v>104</v>
      </c>
      <c r="AK251" s="232" t="s">
        <v>105</v>
      </c>
      <c r="AL251" s="232" t="s">
        <v>105</v>
      </c>
      <c r="AM251" s="232" t="s">
        <v>105</v>
      </c>
      <c r="AN251" s="232" t="s">
        <v>106</v>
      </c>
      <c r="AO251" s="250"/>
      <c r="AP251" s="249" t="s">
        <v>1324</v>
      </c>
      <c r="AQ251" s="232" t="s">
        <v>105</v>
      </c>
      <c r="AR251" s="232" t="s">
        <v>105</v>
      </c>
      <c r="AS251" s="250" t="s">
        <v>105</v>
      </c>
      <c r="AT251" s="250" t="s">
        <v>105</v>
      </c>
      <c r="AU251" s="213">
        <v>45273</v>
      </c>
      <c r="AV251" s="250" t="s">
        <v>105</v>
      </c>
      <c r="AW251" s="228" t="s">
        <v>105</v>
      </c>
      <c r="AX251" s="229">
        <v>45294</v>
      </c>
      <c r="AY251" s="236">
        <v>45300</v>
      </c>
      <c r="AZ251" s="233">
        <v>45103</v>
      </c>
      <c r="BA251" s="232" t="s">
        <v>30</v>
      </c>
      <c r="BB251" s="217" t="s">
        <v>105</v>
      </c>
      <c r="BC251" s="218">
        <f t="shared" si="25"/>
        <v>235</v>
      </c>
      <c r="BD251" s="210" t="str">
        <f t="shared" ref="BD251:BD266" si="26">IF(AND(AI251&lt;&gt;"SIM",AI251="UH"),"AA","INDENIZAÇÃO")</f>
        <v>INDENIZAÇÃO</v>
      </c>
      <c r="BE251" s="210" t="str">
        <f t="shared" si="23"/>
        <v>SIM</v>
      </c>
      <c r="BF251" s="210" t="s">
        <v>105</v>
      </c>
      <c r="BG251" s="229">
        <v>45387</v>
      </c>
      <c r="BH251" s="229">
        <v>45390</v>
      </c>
      <c r="BI251" s="210" t="s">
        <v>105</v>
      </c>
      <c r="BJ251" s="210" t="s">
        <v>105</v>
      </c>
      <c r="BK251" s="213">
        <v>45483</v>
      </c>
      <c r="BL251" s="210" t="s">
        <v>105</v>
      </c>
      <c r="BM251" s="266" t="s">
        <v>105</v>
      </c>
      <c r="BN251" s="232"/>
      <c r="BO251" s="232"/>
      <c r="BP251" s="232"/>
      <c r="BQ251" s="232"/>
      <c r="BR251" s="232"/>
      <c r="BS251" s="232"/>
      <c r="BT251" s="232"/>
      <c r="BU251" s="232"/>
      <c r="BV251" s="232"/>
      <c r="BW251" s="232"/>
      <c r="BX251" s="232"/>
      <c r="BY251" s="232"/>
    </row>
    <row r="252" spans="1:77" ht="35.25" hidden="1" customHeight="1" x14ac:dyDescent="0.25">
      <c r="A252" s="210">
        <v>239</v>
      </c>
      <c r="B252" s="210" t="s">
        <v>99</v>
      </c>
      <c r="C252" s="210">
        <v>2</v>
      </c>
      <c r="D252" s="210">
        <v>0</v>
      </c>
      <c r="E252" s="210">
        <v>0</v>
      </c>
      <c r="F252" s="270" t="s">
        <v>1325</v>
      </c>
      <c r="G252" s="220" t="s">
        <v>1</v>
      </c>
      <c r="H252" s="220" t="s">
        <v>2</v>
      </c>
      <c r="I252" s="210" t="s">
        <v>12</v>
      </c>
      <c r="J252" s="270" t="s">
        <v>1326</v>
      </c>
      <c r="K252" s="270" t="s">
        <v>1327</v>
      </c>
      <c r="L252" s="270" t="s">
        <v>1328</v>
      </c>
      <c r="M252" s="232" t="s">
        <v>4</v>
      </c>
      <c r="N252" s="220" t="s">
        <v>14</v>
      </c>
      <c r="O252" s="213">
        <v>45019</v>
      </c>
      <c r="P252" s="251">
        <v>45238</v>
      </c>
      <c r="Q252" s="229" t="s">
        <v>114</v>
      </c>
      <c r="R252" s="233" t="s">
        <v>105</v>
      </c>
      <c r="S252" s="233" t="s">
        <v>105</v>
      </c>
      <c r="T252" s="213" t="s">
        <v>105</v>
      </c>
      <c r="U252" s="251">
        <v>45264</v>
      </c>
      <c r="V252" s="213" t="s">
        <v>105</v>
      </c>
      <c r="W252" s="233">
        <v>45265</v>
      </c>
      <c r="X252" s="233">
        <v>45275</v>
      </c>
      <c r="Y252" s="236" t="s">
        <v>220</v>
      </c>
      <c r="Z252" s="236"/>
      <c r="AA252" s="232"/>
      <c r="AB252" s="270" t="s">
        <v>1326</v>
      </c>
      <c r="AC252" s="270" t="s">
        <v>1327</v>
      </c>
      <c r="AD252" s="270" t="s">
        <v>1328</v>
      </c>
      <c r="AE252" s="220" t="s">
        <v>12</v>
      </c>
      <c r="AF252" s="210" t="s">
        <v>4</v>
      </c>
      <c r="AG252" s="230">
        <v>0</v>
      </c>
      <c r="AH252" s="230">
        <v>0</v>
      </c>
      <c r="AI252" s="232" t="s">
        <v>23</v>
      </c>
      <c r="AJ252" s="230" t="s">
        <v>104</v>
      </c>
      <c r="AK252" s="210" t="s">
        <v>105</v>
      </c>
      <c r="AL252" s="210" t="s">
        <v>24</v>
      </c>
      <c r="AM252" s="210" t="s">
        <v>24</v>
      </c>
      <c r="AN252" s="210" t="s">
        <v>24</v>
      </c>
      <c r="AO252" s="232"/>
      <c r="AP252" s="219" t="s">
        <v>24</v>
      </c>
      <c r="AQ252" s="210" t="s">
        <v>24</v>
      </c>
      <c r="AR252" s="210" t="s">
        <v>24</v>
      </c>
      <c r="AS252" s="210" t="s">
        <v>24</v>
      </c>
      <c r="AT252" s="210" t="s">
        <v>24</v>
      </c>
      <c r="AU252" s="210" t="s">
        <v>24</v>
      </c>
      <c r="AV252" s="210" t="s">
        <v>24</v>
      </c>
      <c r="AW252" s="210" t="s">
        <v>24</v>
      </c>
      <c r="AX252" s="233">
        <v>45275</v>
      </c>
      <c r="AY252" s="232"/>
      <c r="AZ252" s="233"/>
      <c r="BA252" s="232"/>
      <c r="BB252" s="232"/>
      <c r="BC252" s="218" t="str">
        <f t="shared" si="25"/>
        <v/>
      </c>
      <c r="BD252" s="210" t="str">
        <f t="shared" si="26"/>
        <v>AA</v>
      </c>
      <c r="BE252" s="210" t="str">
        <f t="shared" si="23"/>
        <v>NÃO</v>
      </c>
      <c r="BF252" s="210"/>
      <c r="BG252" s="210"/>
      <c r="BH252" s="210"/>
      <c r="BI252" s="210"/>
      <c r="BJ252" s="210"/>
      <c r="BK252" s="210"/>
      <c r="BL252" s="210"/>
      <c r="BM252" s="210"/>
      <c r="BN252" s="232"/>
      <c r="BO252" s="232"/>
      <c r="BP252" s="232"/>
      <c r="BQ252" s="232"/>
      <c r="BR252" s="232"/>
      <c r="BS252" s="232"/>
      <c r="BT252" s="232"/>
      <c r="BU252" s="232"/>
      <c r="BV252" s="232"/>
      <c r="BW252" s="232"/>
      <c r="BX252" s="232"/>
      <c r="BY252" s="232"/>
    </row>
    <row r="253" spans="1:77" ht="35.25" customHeight="1" x14ac:dyDescent="0.25">
      <c r="A253" s="210">
        <v>240</v>
      </c>
      <c r="B253" s="210" t="s">
        <v>99</v>
      </c>
      <c r="C253" s="210">
        <v>2</v>
      </c>
      <c r="D253" s="210">
        <v>0</v>
      </c>
      <c r="E253" s="210">
        <v>0</v>
      </c>
      <c r="F253" s="219" t="s">
        <v>1329</v>
      </c>
      <c r="G253" s="210" t="s">
        <v>1</v>
      </c>
      <c r="H253" s="210" t="s">
        <v>2</v>
      </c>
      <c r="I253" s="210" t="s">
        <v>12</v>
      </c>
      <c r="J253" s="219" t="s">
        <v>1330</v>
      </c>
      <c r="K253" s="219" t="s">
        <v>1331</v>
      </c>
      <c r="L253" s="219" t="s">
        <v>1332</v>
      </c>
      <c r="M253" s="232" t="s">
        <v>4</v>
      </c>
      <c r="N253" s="232" t="s">
        <v>5</v>
      </c>
      <c r="O253" s="213">
        <v>45243</v>
      </c>
      <c r="P253" s="229" t="s">
        <v>24</v>
      </c>
      <c r="Q253" s="213" t="s">
        <v>24</v>
      </c>
      <c r="R253" s="213" t="s">
        <v>24</v>
      </c>
      <c r="S253" s="213" t="s">
        <v>24</v>
      </c>
      <c r="T253" s="213" t="s">
        <v>24</v>
      </c>
      <c r="U253" s="229" t="s">
        <v>24</v>
      </c>
      <c r="V253" s="213" t="s">
        <v>24</v>
      </c>
      <c r="W253" s="213" t="s">
        <v>24</v>
      </c>
      <c r="X253" s="213" t="s">
        <v>24</v>
      </c>
      <c r="Y253" s="229" t="s">
        <v>24</v>
      </c>
      <c r="Z253" s="213" t="s">
        <v>24</v>
      </c>
      <c r="AA253" s="232"/>
      <c r="AB253" s="219" t="s">
        <v>1330</v>
      </c>
      <c r="AC253" s="219" t="s">
        <v>1331</v>
      </c>
      <c r="AD253" s="219" t="s">
        <v>1332</v>
      </c>
      <c r="AE253" s="220" t="s">
        <v>12</v>
      </c>
      <c r="AF253" s="210" t="s">
        <v>4</v>
      </c>
      <c r="AG253" s="230">
        <f>AH253-30000</f>
        <v>1100</v>
      </c>
      <c r="AH253" s="230">
        <v>31100</v>
      </c>
      <c r="AI253" s="214" t="s">
        <v>6</v>
      </c>
      <c r="AJ253" s="230" t="s">
        <v>104</v>
      </c>
      <c r="AK253" s="210" t="s">
        <v>105</v>
      </c>
      <c r="AL253" s="232" t="s">
        <v>105</v>
      </c>
      <c r="AM253" s="210" t="s">
        <v>105</v>
      </c>
      <c r="AN253" s="210" t="s">
        <v>106</v>
      </c>
      <c r="AO253" s="250"/>
      <c r="AP253" s="234" t="s">
        <v>1333</v>
      </c>
      <c r="AQ253" s="232" t="s">
        <v>105</v>
      </c>
      <c r="AR253" s="232" t="s">
        <v>105</v>
      </c>
      <c r="AS253" s="210" t="s">
        <v>105</v>
      </c>
      <c r="AT253" s="210" t="s">
        <v>105</v>
      </c>
      <c r="AU253" s="213">
        <v>45351</v>
      </c>
      <c r="AV253" s="210" t="s">
        <v>105</v>
      </c>
      <c r="AW253" s="210" t="s">
        <v>105</v>
      </c>
      <c r="AX253" s="213">
        <v>45359</v>
      </c>
      <c r="AY253" s="221">
        <v>45359</v>
      </c>
      <c r="AZ253" s="236" t="s">
        <v>220</v>
      </c>
      <c r="BA253" s="235" t="s">
        <v>502</v>
      </c>
      <c r="BB253" s="217" t="s">
        <v>105</v>
      </c>
      <c r="BC253" s="218">
        <f t="shared" si="25"/>
        <v>116</v>
      </c>
      <c r="BD253" s="210" t="str">
        <f t="shared" si="26"/>
        <v>INDENIZAÇÃO</v>
      </c>
      <c r="BE253" s="210" t="str">
        <f t="shared" si="23"/>
        <v>NÃO</v>
      </c>
      <c r="BF253" s="210" t="s">
        <v>24</v>
      </c>
      <c r="BG253" s="210" t="s">
        <v>24</v>
      </c>
      <c r="BH253" s="210" t="s">
        <v>24</v>
      </c>
      <c r="BI253" s="210" t="s">
        <v>105</v>
      </c>
      <c r="BJ253" s="210" t="s">
        <v>105</v>
      </c>
      <c r="BK253" s="213">
        <v>45510</v>
      </c>
      <c r="BL253" s="210" t="s">
        <v>105</v>
      </c>
      <c r="BM253" s="241" t="s">
        <v>220</v>
      </c>
      <c r="BN253" s="232"/>
      <c r="BO253" s="232"/>
      <c r="BP253" s="232"/>
      <c r="BQ253" s="232"/>
      <c r="BR253" s="232"/>
      <c r="BS253" s="232"/>
      <c r="BT253" s="232"/>
      <c r="BU253" s="232"/>
      <c r="BV253" s="232"/>
      <c r="BW253" s="232"/>
      <c r="BX253" s="232"/>
      <c r="BY253" s="232"/>
    </row>
    <row r="254" spans="1:77" ht="35.25" hidden="1" customHeight="1" x14ac:dyDescent="0.25">
      <c r="A254" s="210">
        <v>241</v>
      </c>
      <c r="B254" s="210" t="s">
        <v>99</v>
      </c>
      <c r="C254" s="210">
        <v>2</v>
      </c>
      <c r="D254" s="210">
        <v>0</v>
      </c>
      <c r="E254" s="210">
        <v>0</v>
      </c>
      <c r="F254" s="270" t="s">
        <v>1334</v>
      </c>
      <c r="G254" s="220" t="s">
        <v>1</v>
      </c>
      <c r="H254" s="220" t="s">
        <v>2</v>
      </c>
      <c r="I254" s="210" t="s">
        <v>12</v>
      </c>
      <c r="J254" s="270" t="s">
        <v>1335</v>
      </c>
      <c r="K254" s="270" t="s">
        <v>1336</v>
      </c>
      <c r="L254" s="270" t="s">
        <v>1337</v>
      </c>
      <c r="M254" s="232" t="s">
        <v>4</v>
      </c>
      <c r="N254" s="232" t="s">
        <v>1338</v>
      </c>
      <c r="O254" s="213">
        <v>45216</v>
      </c>
      <c r="P254" s="229" t="s">
        <v>24</v>
      </c>
      <c r="Q254" s="213" t="s">
        <v>24</v>
      </c>
      <c r="R254" s="213" t="s">
        <v>24</v>
      </c>
      <c r="S254" s="213" t="s">
        <v>24</v>
      </c>
      <c r="T254" s="213" t="s">
        <v>24</v>
      </c>
      <c r="U254" s="229" t="s">
        <v>24</v>
      </c>
      <c r="V254" s="213" t="s">
        <v>24</v>
      </c>
      <c r="W254" s="213" t="s">
        <v>24</v>
      </c>
      <c r="X254" s="213" t="s">
        <v>24</v>
      </c>
      <c r="Y254" s="229" t="s">
        <v>24</v>
      </c>
      <c r="Z254" s="213" t="s">
        <v>24</v>
      </c>
      <c r="AA254" s="232" t="s">
        <v>1338</v>
      </c>
      <c r="AB254" s="270" t="s">
        <v>1339</v>
      </c>
      <c r="AC254" s="270" t="s">
        <v>1336</v>
      </c>
      <c r="AD254" s="270" t="s">
        <v>1337</v>
      </c>
      <c r="AE254" s="220" t="s">
        <v>12</v>
      </c>
      <c r="AF254" s="232" t="s">
        <v>4</v>
      </c>
      <c r="AG254" s="291">
        <f>AH254-30000</f>
        <v>6200</v>
      </c>
      <c r="AH254" s="291">
        <v>36200</v>
      </c>
      <c r="AI254" s="232" t="s">
        <v>1338</v>
      </c>
      <c r="AJ254" s="230" t="s">
        <v>104</v>
      </c>
      <c r="AK254" s="232" t="s">
        <v>105</v>
      </c>
      <c r="AL254" s="232" t="s">
        <v>24</v>
      </c>
      <c r="AM254" s="232" t="s">
        <v>24</v>
      </c>
      <c r="AN254" s="232" t="s">
        <v>24</v>
      </c>
      <c r="AO254" s="232" t="s">
        <v>1340</v>
      </c>
      <c r="AP254" s="234" t="s">
        <v>1341</v>
      </c>
      <c r="AQ254" s="232" t="s">
        <v>24</v>
      </c>
      <c r="AR254" s="232" t="s">
        <v>24</v>
      </c>
      <c r="AS254" s="232" t="s">
        <v>24</v>
      </c>
      <c r="AT254" s="232" t="s">
        <v>24</v>
      </c>
      <c r="AU254" s="232" t="s">
        <v>24</v>
      </c>
      <c r="AV254" s="232" t="s">
        <v>24</v>
      </c>
      <c r="AW254" s="232" t="s">
        <v>24</v>
      </c>
      <c r="AX254" s="232" t="s">
        <v>24</v>
      </c>
      <c r="AY254" s="232" t="s">
        <v>24</v>
      </c>
      <c r="AZ254" s="232" t="s">
        <v>24</v>
      </c>
      <c r="BA254" s="232" t="s">
        <v>24</v>
      </c>
      <c r="BB254" s="232" t="s">
        <v>24</v>
      </c>
      <c r="BC254" s="218" t="s">
        <v>24</v>
      </c>
      <c r="BD254" s="210" t="str">
        <f t="shared" si="26"/>
        <v>INDENIZAÇÃO</v>
      </c>
      <c r="BE254" s="210" t="str">
        <f t="shared" si="23"/>
        <v>NÃO</v>
      </c>
      <c r="BF254" s="232" t="s">
        <v>24</v>
      </c>
      <c r="BG254" s="232" t="s">
        <v>24</v>
      </c>
      <c r="BH254" s="232" t="s">
        <v>24</v>
      </c>
      <c r="BI254" s="232" t="s">
        <v>24</v>
      </c>
      <c r="BJ254" s="232" t="s">
        <v>24</v>
      </c>
      <c r="BK254" s="232" t="s">
        <v>24</v>
      </c>
      <c r="BL254" s="232" t="s">
        <v>24</v>
      </c>
      <c r="BM254" s="210" t="s">
        <v>105</v>
      </c>
      <c r="BN254" s="232"/>
      <c r="BO254" s="232"/>
      <c r="BP254" s="232"/>
      <c r="BQ254" s="232"/>
      <c r="BR254" s="232"/>
      <c r="BS254" s="232"/>
      <c r="BT254" s="232"/>
      <c r="BU254" s="232"/>
      <c r="BV254" s="232"/>
      <c r="BW254" s="232"/>
      <c r="BX254" s="232"/>
      <c r="BY254" s="232"/>
    </row>
    <row r="255" spans="1:77" ht="35.25" hidden="1" customHeight="1" x14ac:dyDescent="0.25">
      <c r="A255" s="210">
        <v>242</v>
      </c>
      <c r="B255" s="210" t="s">
        <v>99</v>
      </c>
      <c r="C255" s="210">
        <v>2</v>
      </c>
      <c r="D255" s="210">
        <v>0</v>
      </c>
      <c r="E255" s="210">
        <v>0</v>
      </c>
      <c r="F255" s="219" t="s">
        <v>1342</v>
      </c>
      <c r="G255" s="210" t="s">
        <v>1</v>
      </c>
      <c r="H255" s="210" t="s">
        <v>2</v>
      </c>
      <c r="I255" s="210" t="s">
        <v>12</v>
      </c>
      <c r="J255" s="219" t="s">
        <v>1343</v>
      </c>
      <c r="K255" s="219" t="s">
        <v>1344</v>
      </c>
      <c r="L255" s="219" t="s">
        <v>1345</v>
      </c>
      <c r="M255" s="232" t="s">
        <v>4</v>
      </c>
      <c r="N255" s="220" t="s">
        <v>14</v>
      </c>
      <c r="O255" s="213">
        <v>45019</v>
      </c>
      <c r="P255" s="233">
        <v>45189</v>
      </c>
      <c r="Q255" s="213" t="s">
        <v>114</v>
      </c>
      <c r="R255" s="233" t="s">
        <v>105</v>
      </c>
      <c r="S255" s="233" t="s">
        <v>105</v>
      </c>
      <c r="T255" s="213" t="s">
        <v>105</v>
      </c>
      <c r="U255" s="233">
        <v>45236</v>
      </c>
      <c r="V255" s="233" t="s">
        <v>105</v>
      </c>
      <c r="W255" s="233">
        <v>45237</v>
      </c>
      <c r="X255" s="251">
        <v>45253</v>
      </c>
      <c r="Y255" s="236" t="s">
        <v>220</v>
      </c>
      <c r="Z255" s="236"/>
      <c r="AA255" s="232"/>
      <c r="AB255" s="219" t="s">
        <v>1343</v>
      </c>
      <c r="AC255" s="219" t="s">
        <v>1344</v>
      </c>
      <c r="AD255" s="219" t="s">
        <v>1345</v>
      </c>
      <c r="AE255" s="220" t="s">
        <v>12</v>
      </c>
      <c r="AF255" s="210" t="s">
        <v>4</v>
      </c>
      <c r="AG255" s="230">
        <v>0</v>
      </c>
      <c r="AH255" s="230">
        <v>0</v>
      </c>
      <c r="AI255" s="214" t="s">
        <v>23</v>
      </c>
      <c r="AJ255" s="230" t="s">
        <v>104</v>
      </c>
      <c r="AK255" s="210" t="s">
        <v>105</v>
      </c>
      <c r="AL255" s="210" t="s">
        <v>24</v>
      </c>
      <c r="AM255" s="210" t="s">
        <v>24</v>
      </c>
      <c r="AN255" s="210" t="s">
        <v>24</v>
      </c>
      <c r="AO255" s="232"/>
      <c r="AP255" s="219" t="s">
        <v>24</v>
      </c>
      <c r="AQ255" s="210" t="s">
        <v>24</v>
      </c>
      <c r="AR255" s="210" t="s">
        <v>24</v>
      </c>
      <c r="AS255" s="210" t="s">
        <v>24</v>
      </c>
      <c r="AT255" s="210" t="s">
        <v>24</v>
      </c>
      <c r="AU255" s="210" t="s">
        <v>24</v>
      </c>
      <c r="AV255" s="210" t="s">
        <v>24</v>
      </c>
      <c r="AW255" s="210" t="s">
        <v>24</v>
      </c>
      <c r="AX255" s="251">
        <v>45253</v>
      </c>
      <c r="AY255" s="232"/>
      <c r="AZ255" s="233"/>
      <c r="BA255" s="232"/>
      <c r="BB255" s="232"/>
      <c r="BC255" s="218" t="str">
        <f t="shared" ref="BC255:BC266" si="27">IF(AY255-ON255=0,"",AY255-O255)</f>
        <v/>
      </c>
      <c r="BD255" s="210" t="str">
        <f t="shared" si="26"/>
        <v>AA</v>
      </c>
      <c r="BE255" s="210" t="str">
        <f t="shared" si="23"/>
        <v>NÃO</v>
      </c>
      <c r="BF255" s="210" t="s">
        <v>24</v>
      </c>
      <c r="BG255" s="210" t="s">
        <v>24</v>
      </c>
      <c r="BH255" s="210" t="s">
        <v>24</v>
      </c>
      <c r="BI255" s="210" t="s">
        <v>24</v>
      </c>
      <c r="BJ255" s="210" t="s">
        <v>24</v>
      </c>
      <c r="BK255" s="210" t="s">
        <v>24</v>
      </c>
      <c r="BL255" s="210" t="s">
        <v>24</v>
      </c>
      <c r="BM255" s="210"/>
      <c r="BN255" s="232"/>
      <c r="BO255" s="232"/>
      <c r="BP255" s="232"/>
      <c r="BQ255" s="232"/>
      <c r="BR255" s="232"/>
      <c r="BS255" s="232"/>
      <c r="BT255" s="232"/>
      <c r="BU255" s="232"/>
      <c r="BV255" s="232"/>
      <c r="BW255" s="232"/>
      <c r="BX255" s="232"/>
      <c r="BY255" s="232"/>
    </row>
    <row r="256" spans="1:77" ht="35.25" hidden="1" customHeight="1" x14ac:dyDescent="0.25">
      <c r="A256" s="210">
        <v>243</v>
      </c>
      <c r="B256" s="210" t="s">
        <v>99</v>
      </c>
      <c r="C256" s="210">
        <v>2</v>
      </c>
      <c r="D256" s="210">
        <v>0</v>
      </c>
      <c r="E256" s="210">
        <v>0</v>
      </c>
      <c r="F256" s="270" t="s">
        <v>1346</v>
      </c>
      <c r="G256" s="220" t="s">
        <v>1</v>
      </c>
      <c r="H256" s="220" t="s">
        <v>2</v>
      </c>
      <c r="I256" s="210" t="s">
        <v>12</v>
      </c>
      <c r="J256" s="270" t="s">
        <v>1347</v>
      </c>
      <c r="K256" s="270" t="s">
        <v>1348</v>
      </c>
      <c r="L256" s="270" t="s">
        <v>1349</v>
      </c>
      <c r="M256" s="232"/>
      <c r="N256" s="232"/>
      <c r="O256" s="213">
        <v>45019</v>
      </c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2"/>
      <c r="AB256" s="270" t="s">
        <v>1347</v>
      </c>
      <c r="AC256" s="270" t="s">
        <v>1348</v>
      </c>
      <c r="AD256" s="270" t="s">
        <v>1349</v>
      </c>
      <c r="AE256" s="220" t="s">
        <v>12</v>
      </c>
      <c r="AF256" s="232"/>
      <c r="AG256" s="291" t="s">
        <v>139</v>
      </c>
      <c r="AH256" s="291" t="s">
        <v>139</v>
      </c>
      <c r="AI256" s="232"/>
      <c r="AJ256" s="230" t="s">
        <v>104</v>
      </c>
      <c r="AK256" s="232"/>
      <c r="AL256" s="232"/>
      <c r="AM256" s="232"/>
      <c r="AN256" s="232"/>
      <c r="AO256" s="232"/>
      <c r="AP256" s="234"/>
      <c r="AQ256" s="232"/>
      <c r="AR256" s="232"/>
      <c r="AS256" s="232"/>
      <c r="AT256" s="232"/>
      <c r="AU256" s="232"/>
      <c r="AV256" s="232"/>
      <c r="AW256" s="232"/>
      <c r="AX256" s="233"/>
      <c r="AY256" s="232"/>
      <c r="AZ256" s="233"/>
      <c r="BA256" s="232"/>
      <c r="BB256" s="232"/>
      <c r="BC256" s="218" t="str">
        <f t="shared" si="27"/>
        <v/>
      </c>
      <c r="BD256" s="210" t="str">
        <f t="shared" si="26"/>
        <v>INDENIZAÇÃO</v>
      </c>
      <c r="BE256" s="210" t="str">
        <f t="shared" si="23"/>
        <v>NÃO</v>
      </c>
      <c r="BF256" s="210"/>
      <c r="BG256" s="210"/>
      <c r="BH256" s="210"/>
      <c r="BI256" s="210"/>
      <c r="BJ256" s="210"/>
      <c r="BK256" s="210"/>
      <c r="BL256" s="210"/>
      <c r="BM256" s="210"/>
      <c r="BN256" s="232"/>
      <c r="BO256" s="232"/>
      <c r="BP256" s="232"/>
      <c r="BQ256" s="232"/>
      <c r="BR256" s="232"/>
      <c r="BS256" s="232"/>
      <c r="BT256" s="232"/>
      <c r="BU256" s="232"/>
      <c r="BV256" s="232"/>
      <c r="BW256" s="232"/>
      <c r="BX256" s="232"/>
      <c r="BY256" s="232"/>
    </row>
    <row r="257" spans="1:77" ht="35.25" hidden="1" customHeight="1" x14ac:dyDescent="0.25">
      <c r="A257" s="210">
        <v>244</v>
      </c>
      <c r="B257" s="210" t="s">
        <v>99</v>
      </c>
      <c r="C257" s="210">
        <v>2</v>
      </c>
      <c r="D257" s="210">
        <v>0</v>
      </c>
      <c r="E257" s="210">
        <v>0</v>
      </c>
      <c r="F257" s="270" t="s">
        <v>1350</v>
      </c>
      <c r="G257" s="220" t="s">
        <v>1</v>
      </c>
      <c r="H257" s="220" t="s">
        <v>2</v>
      </c>
      <c r="I257" s="210" t="s">
        <v>12</v>
      </c>
      <c r="J257" s="270" t="s">
        <v>1351</v>
      </c>
      <c r="K257" s="270" t="s">
        <v>1352</v>
      </c>
      <c r="L257" s="270" t="s">
        <v>1353</v>
      </c>
      <c r="M257" s="232"/>
      <c r="N257" s="232"/>
      <c r="O257" s="213">
        <v>45019</v>
      </c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2"/>
      <c r="AB257" s="270" t="s">
        <v>1351</v>
      </c>
      <c r="AC257" s="270" t="s">
        <v>1352</v>
      </c>
      <c r="AD257" s="270" t="s">
        <v>1353</v>
      </c>
      <c r="AE257" s="220" t="s">
        <v>12</v>
      </c>
      <c r="AF257" s="232"/>
      <c r="AG257" s="291" t="s">
        <v>139</v>
      </c>
      <c r="AH257" s="291" t="s">
        <v>139</v>
      </c>
      <c r="AI257" s="232"/>
      <c r="AJ257" s="230" t="s">
        <v>104</v>
      </c>
      <c r="AK257" s="232"/>
      <c r="AL257" s="232"/>
      <c r="AM257" s="232"/>
      <c r="AN257" s="232"/>
      <c r="AO257" s="232"/>
      <c r="AP257" s="234"/>
      <c r="AQ257" s="232"/>
      <c r="AR257" s="232"/>
      <c r="AS257" s="232"/>
      <c r="AT257" s="232"/>
      <c r="AU257" s="232"/>
      <c r="AV257" s="232"/>
      <c r="AW257" s="232"/>
      <c r="AX257" s="233"/>
      <c r="AY257" s="232"/>
      <c r="AZ257" s="233"/>
      <c r="BA257" s="232"/>
      <c r="BB257" s="232"/>
      <c r="BC257" s="218" t="str">
        <f t="shared" si="27"/>
        <v/>
      </c>
      <c r="BD257" s="210" t="str">
        <f t="shared" si="26"/>
        <v>INDENIZAÇÃO</v>
      </c>
      <c r="BE257" s="210" t="str">
        <f t="shared" si="23"/>
        <v>NÃO</v>
      </c>
      <c r="BF257" s="210"/>
      <c r="BG257" s="210"/>
      <c r="BH257" s="210"/>
      <c r="BI257" s="210"/>
      <c r="BJ257" s="210"/>
      <c r="BK257" s="210"/>
      <c r="BL257" s="210"/>
      <c r="BM257" s="210"/>
      <c r="BN257" s="232"/>
      <c r="BO257" s="232"/>
      <c r="BP257" s="232"/>
      <c r="BQ257" s="232"/>
      <c r="BR257" s="232"/>
      <c r="BS257" s="232"/>
      <c r="BT257" s="232"/>
      <c r="BU257" s="232"/>
      <c r="BV257" s="232"/>
      <c r="BW257" s="232"/>
      <c r="BX257" s="232"/>
      <c r="BY257" s="232"/>
    </row>
    <row r="258" spans="1:77" ht="35.25" hidden="1" customHeight="1" x14ac:dyDescent="0.25">
      <c r="A258" s="210">
        <v>245</v>
      </c>
      <c r="B258" s="210" t="s">
        <v>99</v>
      </c>
      <c r="C258" s="210">
        <v>2</v>
      </c>
      <c r="D258" s="210">
        <v>0</v>
      </c>
      <c r="E258" s="210">
        <v>0</v>
      </c>
      <c r="F258" s="270" t="s">
        <v>1354</v>
      </c>
      <c r="G258" s="220" t="s">
        <v>1</v>
      </c>
      <c r="H258" s="220" t="s">
        <v>2</v>
      </c>
      <c r="I258" s="220" t="s">
        <v>121</v>
      </c>
      <c r="J258" s="270" t="s">
        <v>1355</v>
      </c>
      <c r="K258" s="270" t="s">
        <v>1356</v>
      </c>
      <c r="L258" s="270" t="s">
        <v>1357</v>
      </c>
      <c r="M258" s="232"/>
      <c r="N258" s="232"/>
      <c r="O258" s="213">
        <v>45019</v>
      </c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2"/>
      <c r="AB258" s="270" t="s">
        <v>1358</v>
      </c>
      <c r="AC258" s="270" t="s">
        <v>139</v>
      </c>
      <c r="AD258" s="270" t="s">
        <v>1359</v>
      </c>
      <c r="AE258" s="220" t="s">
        <v>139</v>
      </c>
      <c r="AF258" s="232"/>
      <c r="AG258" s="291" t="s">
        <v>139</v>
      </c>
      <c r="AH258" s="291" t="s">
        <v>139</v>
      </c>
      <c r="AI258" s="232"/>
      <c r="AJ258" s="230" t="s">
        <v>104</v>
      </c>
      <c r="AK258" s="232"/>
      <c r="AL258" s="232"/>
      <c r="AM258" s="232"/>
      <c r="AN258" s="232"/>
      <c r="AO258" s="232"/>
      <c r="AP258" s="234"/>
      <c r="AQ258" s="232"/>
      <c r="AR258" s="232"/>
      <c r="AS258" s="232"/>
      <c r="AT258" s="232"/>
      <c r="AU258" s="232"/>
      <c r="AV258" s="232"/>
      <c r="AW258" s="232"/>
      <c r="AX258" s="233"/>
      <c r="AY258" s="232"/>
      <c r="AZ258" s="233"/>
      <c r="BA258" s="232"/>
      <c r="BB258" s="232"/>
      <c r="BC258" s="218" t="str">
        <f t="shared" si="27"/>
        <v/>
      </c>
      <c r="BD258" s="210" t="str">
        <f t="shared" si="26"/>
        <v>INDENIZAÇÃO</v>
      </c>
      <c r="BE258" s="210" t="str">
        <f t="shared" si="23"/>
        <v>NÃO</v>
      </c>
      <c r="BF258" s="210"/>
      <c r="BG258" s="210"/>
      <c r="BH258" s="210"/>
      <c r="BI258" s="210"/>
      <c r="BJ258" s="210"/>
      <c r="BK258" s="210"/>
      <c r="BL258" s="210"/>
      <c r="BM258" s="210"/>
      <c r="BN258" s="232"/>
      <c r="BO258" s="232"/>
      <c r="BP258" s="232"/>
      <c r="BQ258" s="232"/>
      <c r="BR258" s="232"/>
      <c r="BS258" s="232"/>
      <c r="BT258" s="232"/>
      <c r="BU258" s="232"/>
      <c r="BV258" s="232"/>
      <c r="BW258" s="232"/>
      <c r="BX258" s="232"/>
      <c r="BY258" s="232"/>
    </row>
    <row r="259" spans="1:77" ht="35.25" customHeight="1" x14ac:dyDescent="0.25">
      <c r="A259" s="210">
        <v>246</v>
      </c>
      <c r="B259" s="210" t="s">
        <v>99</v>
      </c>
      <c r="C259" s="210">
        <v>2</v>
      </c>
      <c r="D259" s="210">
        <v>0</v>
      </c>
      <c r="E259" s="210">
        <v>0</v>
      </c>
      <c r="F259" s="219" t="s">
        <v>1360</v>
      </c>
      <c r="G259" s="210" t="s">
        <v>1</v>
      </c>
      <c r="H259" s="210" t="s">
        <v>2</v>
      </c>
      <c r="I259" s="210" t="s">
        <v>12</v>
      </c>
      <c r="J259" s="219" t="s">
        <v>1361</v>
      </c>
      <c r="K259" s="219" t="s">
        <v>1362</v>
      </c>
      <c r="L259" s="219" t="s">
        <v>1363</v>
      </c>
      <c r="M259" s="232"/>
      <c r="N259" s="232" t="s">
        <v>5</v>
      </c>
      <c r="O259" s="213">
        <v>45019</v>
      </c>
      <c r="P259" s="233"/>
      <c r="Q259" s="213" t="s">
        <v>24</v>
      </c>
      <c r="R259" s="213" t="s">
        <v>24</v>
      </c>
      <c r="S259" s="213" t="s">
        <v>24</v>
      </c>
      <c r="T259" s="213" t="s">
        <v>24</v>
      </c>
      <c r="U259" s="213" t="s">
        <v>24</v>
      </c>
      <c r="V259" s="213" t="s">
        <v>24</v>
      </c>
      <c r="W259" s="213" t="s">
        <v>24</v>
      </c>
      <c r="X259" s="213" t="s">
        <v>24</v>
      </c>
      <c r="Y259" s="213" t="s">
        <v>24</v>
      </c>
      <c r="Z259" s="213" t="s">
        <v>24</v>
      </c>
      <c r="AA259" s="232"/>
      <c r="AB259" s="219" t="s">
        <v>1361</v>
      </c>
      <c r="AC259" s="219" t="s">
        <v>1362</v>
      </c>
      <c r="AD259" s="219" t="s">
        <v>1363</v>
      </c>
      <c r="AE259" s="220" t="s">
        <v>12</v>
      </c>
      <c r="AF259" s="232" t="s">
        <v>4</v>
      </c>
      <c r="AG259" s="230">
        <v>0</v>
      </c>
      <c r="AH259" s="230">
        <v>60000</v>
      </c>
      <c r="AI259" s="232" t="s">
        <v>6</v>
      </c>
      <c r="AJ259" s="230" t="s">
        <v>104</v>
      </c>
      <c r="AK259" s="232" t="s">
        <v>105</v>
      </c>
      <c r="AL259" s="232" t="s">
        <v>105</v>
      </c>
      <c r="AM259" s="232" t="s">
        <v>105</v>
      </c>
      <c r="AN259" s="232" t="s">
        <v>106</v>
      </c>
      <c r="AO259" s="232"/>
      <c r="AP259" s="234" t="s">
        <v>1364</v>
      </c>
      <c r="AQ259" s="232" t="s">
        <v>105</v>
      </c>
      <c r="AR259" s="232" t="s">
        <v>105</v>
      </c>
      <c r="AS259" s="232" t="s">
        <v>105</v>
      </c>
      <c r="AT259" s="228" t="s">
        <v>105</v>
      </c>
      <c r="AU259" s="229">
        <v>45286</v>
      </c>
      <c r="AV259" s="228" t="s">
        <v>105</v>
      </c>
      <c r="AW259" s="228" t="s">
        <v>105</v>
      </c>
      <c r="AX259" s="229">
        <v>45295</v>
      </c>
      <c r="AY259" s="213">
        <v>45300</v>
      </c>
      <c r="AZ259" s="221" t="s">
        <v>220</v>
      </c>
      <c r="BA259" s="241" t="s">
        <v>502</v>
      </c>
      <c r="BB259" s="217" t="s">
        <v>105</v>
      </c>
      <c r="BC259" s="218">
        <f t="shared" si="27"/>
        <v>281</v>
      </c>
      <c r="BD259" s="210" t="str">
        <f t="shared" si="26"/>
        <v>INDENIZAÇÃO</v>
      </c>
      <c r="BE259" s="210" t="str">
        <f t="shared" si="23"/>
        <v>NÃO</v>
      </c>
      <c r="BF259" s="210" t="s">
        <v>24</v>
      </c>
      <c r="BG259" s="210" t="s">
        <v>24</v>
      </c>
      <c r="BH259" s="210" t="s">
        <v>24</v>
      </c>
      <c r="BI259" s="210" t="s">
        <v>105</v>
      </c>
      <c r="BJ259" s="210" t="s">
        <v>105</v>
      </c>
      <c r="BK259" s="213">
        <v>45510</v>
      </c>
      <c r="BL259" s="210" t="s">
        <v>105</v>
      </c>
      <c r="BM259" s="266" t="s">
        <v>105</v>
      </c>
      <c r="BN259" s="232"/>
      <c r="BO259" s="232"/>
      <c r="BP259" s="232"/>
      <c r="BQ259" s="232"/>
      <c r="BR259" s="232"/>
      <c r="BS259" s="232"/>
      <c r="BT259" s="232"/>
      <c r="BU259" s="232"/>
      <c r="BV259" s="232"/>
      <c r="BW259" s="232"/>
      <c r="BX259" s="232"/>
      <c r="BY259" s="232"/>
    </row>
    <row r="260" spans="1:77" ht="35.25" customHeight="1" x14ac:dyDescent="0.25">
      <c r="A260" s="210">
        <v>247</v>
      </c>
      <c r="B260" s="210" t="s">
        <v>99</v>
      </c>
      <c r="C260" s="210">
        <v>2</v>
      </c>
      <c r="D260" s="210">
        <v>0</v>
      </c>
      <c r="E260" s="210">
        <v>0</v>
      </c>
      <c r="F260" s="219" t="s">
        <v>1365</v>
      </c>
      <c r="G260" s="210" t="s">
        <v>1</v>
      </c>
      <c r="H260" s="210" t="s">
        <v>2</v>
      </c>
      <c r="I260" s="210" t="s">
        <v>12</v>
      </c>
      <c r="J260" s="219" t="s">
        <v>1366</v>
      </c>
      <c r="K260" s="219" t="s">
        <v>1367</v>
      </c>
      <c r="L260" s="219" t="s">
        <v>1368</v>
      </c>
      <c r="M260" s="232"/>
      <c r="N260" s="232" t="s">
        <v>5</v>
      </c>
      <c r="O260" s="213">
        <v>45261</v>
      </c>
      <c r="P260" s="233" t="s">
        <v>24</v>
      </c>
      <c r="Q260" s="233" t="s">
        <v>24</v>
      </c>
      <c r="R260" s="233" t="s">
        <v>24</v>
      </c>
      <c r="S260" s="233" t="s">
        <v>24</v>
      </c>
      <c r="T260" s="233" t="s">
        <v>24</v>
      </c>
      <c r="U260" s="233" t="s">
        <v>24</v>
      </c>
      <c r="V260" s="233" t="s">
        <v>24</v>
      </c>
      <c r="W260" s="233" t="s">
        <v>24</v>
      </c>
      <c r="X260" s="233" t="s">
        <v>24</v>
      </c>
      <c r="Y260" s="233" t="s">
        <v>24</v>
      </c>
      <c r="Z260" s="233" t="s">
        <v>24</v>
      </c>
      <c r="AA260" s="232"/>
      <c r="AB260" s="219" t="s">
        <v>1366</v>
      </c>
      <c r="AC260" s="219" t="s">
        <v>1367</v>
      </c>
      <c r="AD260" s="219" t="s">
        <v>1368</v>
      </c>
      <c r="AE260" s="220" t="s">
        <v>12</v>
      </c>
      <c r="AF260" s="232" t="s">
        <v>4</v>
      </c>
      <c r="AG260" s="230">
        <v>41418.32</v>
      </c>
      <c r="AH260" s="230">
        <v>60000</v>
      </c>
      <c r="AI260" s="232" t="s">
        <v>6</v>
      </c>
      <c r="AJ260" s="230" t="s">
        <v>104</v>
      </c>
      <c r="AK260" s="232" t="s">
        <v>105</v>
      </c>
      <c r="AL260" s="232" t="s">
        <v>105</v>
      </c>
      <c r="AM260" s="232" t="s">
        <v>105</v>
      </c>
      <c r="AN260" s="232" t="s">
        <v>106</v>
      </c>
      <c r="AO260" s="232"/>
      <c r="AP260" s="234" t="s">
        <v>1369</v>
      </c>
      <c r="AQ260" s="232" t="s">
        <v>105</v>
      </c>
      <c r="AR260" s="232" t="s">
        <v>105</v>
      </c>
      <c r="AS260" s="232" t="s">
        <v>105</v>
      </c>
      <c r="AT260" s="232" t="s">
        <v>105</v>
      </c>
      <c r="AU260" s="233">
        <v>45278</v>
      </c>
      <c r="AV260" s="232" t="s">
        <v>105</v>
      </c>
      <c r="AW260" s="228" t="s">
        <v>105</v>
      </c>
      <c r="AX260" s="229">
        <v>45295</v>
      </c>
      <c r="AY260" s="236">
        <v>45306</v>
      </c>
      <c r="AZ260" s="235" t="s">
        <v>220</v>
      </c>
      <c r="BA260" s="235" t="s">
        <v>502</v>
      </c>
      <c r="BB260" s="217" t="s">
        <v>105</v>
      </c>
      <c r="BC260" s="218">
        <f t="shared" si="27"/>
        <v>45</v>
      </c>
      <c r="BD260" s="210" t="str">
        <f t="shared" si="26"/>
        <v>INDENIZAÇÃO</v>
      </c>
      <c r="BE260" s="210" t="str">
        <f t="shared" si="23"/>
        <v>NÃO</v>
      </c>
      <c r="BF260" s="210" t="s">
        <v>24</v>
      </c>
      <c r="BG260" s="210" t="s">
        <v>24</v>
      </c>
      <c r="BH260" s="210" t="s">
        <v>24</v>
      </c>
      <c r="BI260" s="210" t="s">
        <v>105</v>
      </c>
      <c r="BJ260" s="210" t="s">
        <v>105</v>
      </c>
      <c r="BK260" s="213">
        <v>45510</v>
      </c>
      <c r="BL260" s="210" t="s">
        <v>105</v>
      </c>
      <c r="BM260" s="241" t="s">
        <v>220</v>
      </c>
      <c r="BN260" s="232"/>
      <c r="BO260" s="232"/>
      <c r="BP260" s="232"/>
      <c r="BQ260" s="232"/>
      <c r="BR260" s="232"/>
      <c r="BS260" s="232"/>
      <c r="BT260" s="232"/>
      <c r="BU260" s="232"/>
      <c r="BV260" s="232"/>
      <c r="BW260" s="232"/>
      <c r="BX260" s="232"/>
      <c r="BY260" s="232"/>
    </row>
    <row r="261" spans="1:77" ht="35.25" customHeight="1" x14ac:dyDescent="0.25">
      <c r="A261" s="210">
        <v>248</v>
      </c>
      <c r="B261" s="210" t="s">
        <v>99</v>
      </c>
      <c r="C261" s="210">
        <v>2</v>
      </c>
      <c r="D261" s="210">
        <v>0</v>
      </c>
      <c r="E261" s="210">
        <v>0</v>
      </c>
      <c r="F261" s="270" t="s">
        <v>1370</v>
      </c>
      <c r="G261" s="220" t="s">
        <v>1</v>
      </c>
      <c r="H261" s="220" t="s">
        <v>2</v>
      </c>
      <c r="I261" s="210" t="s">
        <v>12</v>
      </c>
      <c r="J261" s="270" t="s">
        <v>1371</v>
      </c>
      <c r="K261" s="270" t="s">
        <v>1372</v>
      </c>
      <c r="L261" s="270" t="s">
        <v>1373</v>
      </c>
      <c r="M261" s="232"/>
      <c r="N261" s="232" t="s">
        <v>5</v>
      </c>
      <c r="O261" s="213">
        <v>45261</v>
      </c>
      <c r="P261" s="233" t="s">
        <v>24</v>
      </c>
      <c r="Q261" s="233" t="s">
        <v>24</v>
      </c>
      <c r="R261" s="233" t="s">
        <v>24</v>
      </c>
      <c r="S261" s="233" t="s">
        <v>24</v>
      </c>
      <c r="T261" s="233" t="s">
        <v>24</v>
      </c>
      <c r="U261" s="233" t="s">
        <v>24</v>
      </c>
      <c r="V261" s="233" t="s">
        <v>24</v>
      </c>
      <c r="W261" s="233" t="s">
        <v>24</v>
      </c>
      <c r="X261" s="233" t="s">
        <v>24</v>
      </c>
      <c r="Y261" s="233" t="s">
        <v>24</v>
      </c>
      <c r="Z261" s="233" t="s">
        <v>24</v>
      </c>
      <c r="AA261" s="232"/>
      <c r="AB261" s="270" t="s">
        <v>1371</v>
      </c>
      <c r="AC261" s="270" t="s">
        <v>1372</v>
      </c>
      <c r="AD261" s="270" t="s">
        <v>1373</v>
      </c>
      <c r="AE261" s="220" t="s">
        <v>12</v>
      </c>
      <c r="AF261" s="232" t="s">
        <v>4</v>
      </c>
      <c r="AG261" s="291">
        <v>54556.29</v>
      </c>
      <c r="AH261" s="291">
        <v>60000</v>
      </c>
      <c r="AI261" s="232" t="s">
        <v>6</v>
      </c>
      <c r="AJ261" s="230" t="s">
        <v>104</v>
      </c>
      <c r="AK261" s="232" t="s">
        <v>105</v>
      </c>
      <c r="AL261" s="232" t="s">
        <v>105</v>
      </c>
      <c r="AM261" s="232" t="s">
        <v>105</v>
      </c>
      <c r="AN261" s="232" t="s">
        <v>106</v>
      </c>
      <c r="AO261" s="232"/>
      <c r="AP261" s="234" t="s">
        <v>1374</v>
      </c>
      <c r="AQ261" s="232" t="s">
        <v>105</v>
      </c>
      <c r="AR261" s="232" t="s">
        <v>105</v>
      </c>
      <c r="AS261" s="232" t="s">
        <v>105</v>
      </c>
      <c r="AT261" s="232" t="s">
        <v>105</v>
      </c>
      <c r="AU261" s="233">
        <v>45278</v>
      </c>
      <c r="AV261" s="232" t="s">
        <v>105</v>
      </c>
      <c r="AW261" s="228" t="s">
        <v>105</v>
      </c>
      <c r="AX261" s="229">
        <v>45337</v>
      </c>
      <c r="AY261" s="236">
        <v>45337</v>
      </c>
      <c r="AZ261" s="236" t="s">
        <v>220</v>
      </c>
      <c r="BA261" s="235" t="s">
        <v>502</v>
      </c>
      <c r="BB261" s="217" t="s">
        <v>105</v>
      </c>
      <c r="BC261" s="218">
        <f t="shared" si="27"/>
        <v>76</v>
      </c>
      <c r="BD261" s="210" t="str">
        <f t="shared" si="26"/>
        <v>INDENIZAÇÃO</v>
      </c>
      <c r="BE261" s="210" t="str">
        <f t="shared" si="23"/>
        <v>NÃO</v>
      </c>
      <c r="BF261" s="210" t="s">
        <v>24</v>
      </c>
      <c r="BG261" s="210" t="s">
        <v>24</v>
      </c>
      <c r="BH261" s="210" t="s">
        <v>24</v>
      </c>
      <c r="BI261" s="210" t="s">
        <v>105</v>
      </c>
      <c r="BJ261" s="210" t="s">
        <v>105</v>
      </c>
      <c r="BK261" s="213">
        <v>45510</v>
      </c>
      <c r="BL261" s="210" t="s">
        <v>105</v>
      </c>
      <c r="BM261" s="241" t="s">
        <v>220</v>
      </c>
      <c r="BN261" s="232"/>
      <c r="BO261" s="232"/>
      <c r="BP261" s="232"/>
      <c r="BQ261" s="232"/>
      <c r="BR261" s="232"/>
      <c r="BS261" s="232"/>
      <c r="BT261" s="232"/>
      <c r="BU261" s="232"/>
      <c r="BV261" s="232"/>
      <c r="BW261" s="232"/>
      <c r="BX261" s="232"/>
      <c r="BY261" s="232"/>
    </row>
    <row r="262" spans="1:77" ht="35.25" customHeight="1" x14ac:dyDescent="0.25">
      <c r="A262" s="210">
        <v>249</v>
      </c>
      <c r="B262" s="210" t="s">
        <v>99</v>
      </c>
      <c r="C262" s="210">
        <v>2</v>
      </c>
      <c r="D262" s="210">
        <v>0</v>
      </c>
      <c r="E262" s="210">
        <v>0</v>
      </c>
      <c r="F262" s="270" t="s">
        <v>1375</v>
      </c>
      <c r="G262" s="220" t="s">
        <v>1</v>
      </c>
      <c r="H262" s="220" t="s">
        <v>2</v>
      </c>
      <c r="I262" s="210" t="s">
        <v>12</v>
      </c>
      <c r="J262" s="270" t="s">
        <v>1376</v>
      </c>
      <c r="K262" s="270" t="s">
        <v>1377</v>
      </c>
      <c r="L262" s="270" t="s">
        <v>1378</v>
      </c>
      <c r="M262" s="232" t="s">
        <v>4</v>
      </c>
      <c r="N262" s="232" t="s">
        <v>5</v>
      </c>
      <c r="O262" s="213">
        <v>45253</v>
      </c>
      <c r="P262" s="229" t="s">
        <v>24</v>
      </c>
      <c r="Q262" s="213" t="s">
        <v>24</v>
      </c>
      <c r="R262" s="213" t="s">
        <v>24</v>
      </c>
      <c r="S262" s="213" t="s">
        <v>24</v>
      </c>
      <c r="T262" s="213" t="s">
        <v>24</v>
      </c>
      <c r="U262" s="229" t="s">
        <v>24</v>
      </c>
      <c r="V262" s="213" t="s">
        <v>24</v>
      </c>
      <c r="W262" s="213" t="s">
        <v>24</v>
      </c>
      <c r="X262" s="213" t="s">
        <v>24</v>
      </c>
      <c r="Y262" s="229" t="s">
        <v>24</v>
      </c>
      <c r="Z262" s="213" t="s">
        <v>24</v>
      </c>
      <c r="AA262" s="232"/>
      <c r="AB262" s="270" t="s">
        <v>1376</v>
      </c>
      <c r="AC262" s="270" t="s">
        <v>1377</v>
      </c>
      <c r="AD262" s="270" t="s">
        <v>1378</v>
      </c>
      <c r="AE262" s="220" t="s">
        <v>12</v>
      </c>
      <c r="AF262" s="232" t="s">
        <v>4</v>
      </c>
      <c r="AG262" s="291">
        <f>AH262-30000</f>
        <v>12925.599999999999</v>
      </c>
      <c r="AH262" s="291">
        <v>42925.599999999999</v>
      </c>
      <c r="AI262" s="232" t="s">
        <v>6</v>
      </c>
      <c r="AJ262" s="230" t="s">
        <v>104</v>
      </c>
      <c r="AK262" s="232" t="s">
        <v>105</v>
      </c>
      <c r="AL262" s="232" t="s">
        <v>105</v>
      </c>
      <c r="AM262" s="232" t="s">
        <v>105</v>
      </c>
      <c r="AN262" s="250" t="s">
        <v>106</v>
      </c>
      <c r="AO262" s="232"/>
      <c r="AP262" s="234" t="s">
        <v>1379</v>
      </c>
      <c r="AQ262" s="228" t="s">
        <v>105</v>
      </c>
      <c r="AR262" s="250" t="s">
        <v>105</v>
      </c>
      <c r="AS262" s="232" t="s">
        <v>105</v>
      </c>
      <c r="AT262" s="228" t="s">
        <v>105</v>
      </c>
      <c r="AU262" s="229">
        <v>45286</v>
      </c>
      <c r="AV262" s="228" t="s">
        <v>105</v>
      </c>
      <c r="AW262" s="228" t="s">
        <v>105</v>
      </c>
      <c r="AX262" s="229">
        <v>45295</v>
      </c>
      <c r="AY262" s="236">
        <v>45300</v>
      </c>
      <c r="AZ262" s="235" t="s">
        <v>220</v>
      </c>
      <c r="BA262" s="235" t="s">
        <v>502</v>
      </c>
      <c r="BB262" s="217" t="s">
        <v>105</v>
      </c>
      <c r="BC262" s="218">
        <f t="shared" si="27"/>
        <v>47</v>
      </c>
      <c r="BD262" s="210" t="str">
        <f t="shared" si="26"/>
        <v>INDENIZAÇÃO</v>
      </c>
      <c r="BE262" s="210" t="str">
        <f t="shared" si="23"/>
        <v>NÃO</v>
      </c>
      <c r="BF262" s="210" t="s">
        <v>24</v>
      </c>
      <c r="BG262" s="210" t="s">
        <v>24</v>
      </c>
      <c r="BH262" s="210" t="s">
        <v>24</v>
      </c>
      <c r="BI262" s="210" t="s">
        <v>105</v>
      </c>
      <c r="BJ262" s="210" t="s">
        <v>105</v>
      </c>
      <c r="BK262" s="213">
        <v>45510</v>
      </c>
      <c r="BL262" s="210" t="s">
        <v>105</v>
      </c>
      <c r="BM262" s="241" t="s">
        <v>220</v>
      </c>
      <c r="BN262" s="232"/>
      <c r="BO262" s="232"/>
      <c r="BP262" s="232"/>
      <c r="BQ262" s="232"/>
      <c r="BR262" s="232"/>
      <c r="BS262" s="232"/>
      <c r="BT262" s="232"/>
      <c r="BU262" s="232"/>
      <c r="BV262" s="232"/>
      <c r="BW262" s="232"/>
      <c r="BX262" s="232"/>
      <c r="BY262" s="232"/>
    </row>
    <row r="263" spans="1:77" ht="35.25" customHeight="1" x14ac:dyDescent="0.25">
      <c r="A263" s="210">
        <v>250</v>
      </c>
      <c r="B263" s="210" t="s">
        <v>99</v>
      </c>
      <c r="C263" s="210">
        <v>2</v>
      </c>
      <c r="D263" s="210">
        <v>0</v>
      </c>
      <c r="E263" s="210">
        <v>0</v>
      </c>
      <c r="F263" s="219" t="s">
        <v>1380</v>
      </c>
      <c r="G263" s="210" t="s">
        <v>1</v>
      </c>
      <c r="H263" s="210" t="s">
        <v>2</v>
      </c>
      <c r="I263" s="210" t="s">
        <v>12</v>
      </c>
      <c r="J263" s="219" t="s">
        <v>1381</v>
      </c>
      <c r="K263" s="219" t="s">
        <v>1382</v>
      </c>
      <c r="L263" s="219" t="s">
        <v>1383</v>
      </c>
      <c r="M263" s="232" t="s">
        <v>4</v>
      </c>
      <c r="N263" s="232" t="s">
        <v>5</v>
      </c>
      <c r="O263" s="213">
        <v>45019</v>
      </c>
      <c r="P263" s="233" t="s">
        <v>24</v>
      </c>
      <c r="Q263" s="233" t="s">
        <v>24</v>
      </c>
      <c r="R263" s="233" t="s">
        <v>24</v>
      </c>
      <c r="S263" s="233" t="s">
        <v>24</v>
      </c>
      <c r="T263" s="233" t="s">
        <v>24</v>
      </c>
      <c r="U263" s="233" t="s">
        <v>24</v>
      </c>
      <c r="V263" s="233" t="s">
        <v>24</v>
      </c>
      <c r="W263" s="213" t="s">
        <v>24</v>
      </c>
      <c r="X263" s="213" t="s">
        <v>24</v>
      </c>
      <c r="Y263" s="213" t="s">
        <v>24</v>
      </c>
      <c r="Z263" s="213" t="s">
        <v>24</v>
      </c>
      <c r="AA263" s="232"/>
      <c r="AB263" s="219" t="s">
        <v>1381</v>
      </c>
      <c r="AC263" s="219" t="s">
        <v>1382</v>
      </c>
      <c r="AD263" s="219" t="s">
        <v>1383</v>
      </c>
      <c r="AE263" s="210" t="s">
        <v>12</v>
      </c>
      <c r="AF263" s="232" t="s">
        <v>4</v>
      </c>
      <c r="AG263" s="230">
        <v>14005.32</v>
      </c>
      <c r="AH263" s="230">
        <v>44005.32</v>
      </c>
      <c r="AI263" s="232" t="s">
        <v>6</v>
      </c>
      <c r="AJ263" s="230" t="s">
        <v>104</v>
      </c>
      <c r="AK263" s="232" t="s">
        <v>105</v>
      </c>
      <c r="AL263" s="232" t="s">
        <v>105</v>
      </c>
      <c r="AM263" s="232" t="s">
        <v>105</v>
      </c>
      <c r="AN263" s="250" t="s">
        <v>106</v>
      </c>
      <c r="AO263" s="232"/>
      <c r="AP263" s="234" t="s">
        <v>1384</v>
      </c>
      <c r="AQ263" s="228" t="s">
        <v>105</v>
      </c>
      <c r="AR263" s="232" t="s">
        <v>105</v>
      </c>
      <c r="AS263" s="232" t="s">
        <v>105</v>
      </c>
      <c r="AT263" s="228" t="s">
        <v>105</v>
      </c>
      <c r="AU263" s="229">
        <v>45286</v>
      </c>
      <c r="AV263" s="228" t="s">
        <v>105</v>
      </c>
      <c r="AW263" s="228" t="s">
        <v>105</v>
      </c>
      <c r="AX263" s="229">
        <v>45295</v>
      </c>
      <c r="AY263" s="236">
        <v>45300</v>
      </c>
      <c r="AZ263" s="235" t="s">
        <v>220</v>
      </c>
      <c r="BA263" s="235" t="s">
        <v>502</v>
      </c>
      <c r="BB263" s="217" t="s">
        <v>105</v>
      </c>
      <c r="BC263" s="218">
        <f t="shared" si="27"/>
        <v>281</v>
      </c>
      <c r="BD263" s="210" t="str">
        <f t="shared" si="26"/>
        <v>INDENIZAÇÃO</v>
      </c>
      <c r="BE263" s="210" t="str">
        <f t="shared" si="23"/>
        <v>NÃO</v>
      </c>
      <c r="BF263" s="210" t="s">
        <v>24</v>
      </c>
      <c r="BG263" s="210" t="s">
        <v>24</v>
      </c>
      <c r="BH263" s="210" t="s">
        <v>24</v>
      </c>
      <c r="BI263" s="210" t="s">
        <v>105</v>
      </c>
      <c r="BJ263" s="210" t="s">
        <v>105</v>
      </c>
      <c r="BK263" s="213">
        <v>45621</v>
      </c>
      <c r="BL263" s="210" t="s">
        <v>105</v>
      </c>
      <c r="BM263" s="241" t="s">
        <v>220</v>
      </c>
      <c r="BN263" s="232"/>
      <c r="BO263" s="232"/>
      <c r="BP263" s="232"/>
      <c r="BQ263" s="232"/>
      <c r="BR263" s="232"/>
      <c r="BS263" s="232"/>
      <c r="BT263" s="232"/>
      <c r="BU263" s="232"/>
      <c r="BV263" s="232"/>
      <c r="BW263" s="232"/>
      <c r="BX263" s="232"/>
      <c r="BY263" s="232"/>
    </row>
    <row r="264" spans="1:77" ht="35.25" hidden="1" customHeight="1" x14ac:dyDescent="0.25">
      <c r="A264" s="210">
        <v>251</v>
      </c>
      <c r="B264" s="210" t="s">
        <v>99</v>
      </c>
      <c r="C264" s="210">
        <v>2</v>
      </c>
      <c r="D264" s="210">
        <v>0</v>
      </c>
      <c r="E264" s="210">
        <v>0</v>
      </c>
      <c r="F264" s="270" t="s">
        <v>1385</v>
      </c>
      <c r="G264" s="220" t="s">
        <v>1</v>
      </c>
      <c r="H264" s="220" t="s">
        <v>2</v>
      </c>
      <c r="I264" s="210" t="s">
        <v>12</v>
      </c>
      <c r="J264" s="270" t="s">
        <v>1386</v>
      </c>
      <c r="K264" s="270" t="s">
        <v>1387</v>
      </c>
      <c r="L264" s="270" t="s">
        <v>1388</v>
      </c>
      <c r="M264" s="232" t="s">
        <v>4</v>
      </c>
      <c r="N264" s="220" t="s">
        <v>14</v>
      </c>
      <c r="O264" s="213">
        <v>45019</v>
      </c>
      <c r="P264" s="229">
        <v>45019</v>
      </c>
      <c r="Q264" s="213" t="s">
        <v>114</v>
      </c>
      <c r="R264" s="233" t="s">
        <v>105</v>
      </c>
      <c r="S264" s="233" t="s">
        <v>105</v>
      </c>
      <c r="T264" s="213" t="s">
        <v>105</v>
      </c>
      <c r="U264" s="229">
        <v>45093</v>
      </c>
      <c r="V264" s="233" t="s">
        <v>105</v>
      </c>
      <c r="W264" s="233">
        <v>45093</v>
      </c>
      <c r="X264" s="233">
        <v>45110</v>
      </c>
      <c r="Y264" s="229">
        <v>45110</v>
      </c>
      <c r="Z264" s="251">
        <v>45066</v>
      </c>
      <c r="AA264" s="232"/>
      <c r="AB264" s="270" t="s">
        <v>1386</v>
      </c>
      <c r="AC264" s="270" t="s">
        <v>1387</v>
      </c>
      <c r="AD264" s="270" t="s">
        <v>1388</v>
      </c>
      <c r="AE264" s="220" t="s">
        <v>12</v>
      </c>
      <c r="AF264" s="210" t="s">
        <v>4</v>
      </c>
      <c r="AG264" s="230">
        <v>0</v>
      </c>
      <c r="AH264" s="230">
        <v>0</v>
      </c>
      <c r="AI264" s="214" t="s">
        <v>23</v>
      </c>
      <c r="AJ264" s="230" t="s">
        <v>104</v>
      </c>
      <c r="AK264" s="210" t="s">
        <v>105</v>
      </c>
      <c r="AL264" s="210" t="s">
        <v>24</v>
      </c>
      <c r="AM264" s="210" t="s">
        <v>24</v>
      </c>
      <c r="AN264" s="210" t="s">
        <v>24</v>
      </c>
      <c r="AO264" s="232"/>
      <c r="AP264" s="219" t="s">
        <v>24</v>
      </c>
      <c r="AQ264" s="210" t="s">
        <v>24</v>
      </c>
      <c r="AR264" s="210" t="s">
        <v>24</v>
      </c>
      <c r="AS264" s="210" t="s">
        <v>24</v>
      </c>
      <c r="AT264" s="210" t="s">
        <v>24</v>
      </c>
      <c r="AU264" s="210" t="s">
        <v>24</v>
      </c>
      <c r="AV264" s="210" t="s">
        <v>24</v>
      </c>
      <c r="AW264" s="210" t="s">
        <v>24</v>
      </c>
      <c r="AX264" s="233">
        <v>45110</v>
      </c>
      <c r="AY264" s="213">
        <v>45110</v>
      </c>
      <c r="AZ264" s="251">
        <v>45122</v>
      </c>
      <c r="BA264" s="232" t="s">
        <v>30</v>
      </c>
      <c r="BB264" s="217" t="s">
        <v>105</v>
      </c>
      <c r="BC264" s="218">
        <f t="shared" si="27"/>
        <v>91</v>
      </c>
      <c r="BD264" s="210" t="str">
        <f t="shared" si="26"/>
        <v>AA</v>
      </c>
      <c r="BE264" s="210" t="str">
        <f t="shared" si="23"/>
        <v>NÃO</v>
      </c>
      <c r="BF264" s="210" t="s">
        <v>24</v>
      </c>
      <c r="BG264" s="210" t="s">
        <v>24</v>
      </c>
      <c r="BH264" s="210" t="s">
        <v>24</v>
      </c>
      <c r="BI264" s="210" t="s">
        <v>24</v>
      </c>
      <c r="BJ264" s="210" t="s">
        <v>24</v>
      </c>
      <c r="BK264" s="210" t="s">
        <v>24</v>
      </c>
      <c r="BL264" s="210" t="s">
        <v>24</v>
      </c>
      <c r="BM264" s="265" t="s">
        <v>105</v>
      </c>
      <c r="BN264" s="232"/>
      <c r="BO264" s="232"/>
      <c r="BP264" s="232"/>
      <c r="BQ264" s="232"/>
      <c r="BR264" s="232"/>
      <c r="BS264" s="232"/>
      <c r="BT264" s="232"/>
      <c r="BU264" s="232"/>
      <c r="BV264" s="232"/>
      <c r="BW264" s="232"/>
      <c r="BX264" s="232"/>
      <c r="BY264" s="232"/>
    </row>
    <row r="265" spans="1:77" ht="35.25" customHeight="1" x14ac:dyDescent="0.25">
      <c r="A265" s="210">
        <v>252</v>
      </c>
      <c r="B265" s="210" t="s">
        <v>99</v>
      </c>
      <c r="C265" s="210">
        <v>2</v>
      </c>
      <c r="D265" s="210">
        <v>0</v>
      </c>
      <c r="E265" s="210">
        <v>0</v>
      </c>
      <c r="F265" s="219" t="s">
        <v>1389</v>
      </c>
      <c r="G265" s="210" t="s">
        <v>1193</v>
      </c>
      <c r="H265" s="210" t="s">
        <v>2</v>
      </c>
      <c r="I265" s="210" t="s">
        <v>139</v>
      </c>
      <c r="J265" s="219" t="s">
        <v>139</v>
      </c>
      <c r="K265" s="219" t="s">
        <v>139</v>
      </c>
      <c r="L265" s="219" t="s">
        <v>139</v>
      </c>
      <c r="M265" s="232"/>
      <c r="N265" s="232"/>
      <c r="O265" s="213">
        <v>45019</v>
      </c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2"/>
      <c r="AB265" s="219" t="s">
        <v>1390</v>
      </c>
      <c r="AC265" s="219" t="s">
        <v>1391</v>
      </c>
      <c r="AD265" s="219" t="s">
        <v>1392</v>
      </c>
      <c r="AE265" s="210" t="s">
        <v>547</v>
      </c>
      <c r="AF265" s="232" t="s">
        <v>4</v>
      </c>
      <c r="AG265" s="230">
        <v>34100</v>
      </c>
      <c r="AH265" s="230">
        <v>34100</v>
      </c>
      <c r="AI265" s="232" t="s">
        <v>6</v>
      </c>
      <c r="AJ265" s="230" t="s">
        <v>104</v>
      </c>
      <c r="AK265" s="232" t="s">
        <v>105</v>
      </c>
      <c r="AL265" s="232" t="s">
        <v>105</v>
      </c>
      <c r="AM265" s="232" t="s">
        <v>105</v>
      </c>
      <c r="AN265" s="232" t="s">
        <v>106</v>
      </c>
      <c r="AO265" s="232"/>
      <c r="AP265" s="234" t="s">
        <v>1393</v>
      </c>
      <c r="AQ265" s="228" t="s">
        <v>105</v>
      </c>
      <c r="AR265" s="232" t="s">
        <v>105</v>
      </c>
      <c r="AS265" s="210" t="s">
        <v>105</v>
      </c>
      <c r="AT265" s="210" t="s">
        <v>105</v>
      </c>
      <c r="AU265" s="213">
        <v>45351</v>
      </c>
      <c r="AV265" s="210" t="s">
        <v>105</v>
      </c>
      <c r="AW265" s="210" t="s">
        <v>105</v>
      </c>
      <c r="AX265" s="213">
        <v>45359</v>
      </c>
      <c r="AY265" s="221">
        <v>45359</v>
      </c>
      <c r="AZ265" s="236" t="s">
        <v>220</v>
      </c>
      <c r="BA265" s="235" t="s">
        <v>502</v>
      </c>
      <c r="BB265" s="217" t="s">
        <v>105</v>
      </c>
      <c r="BC265" s="218">
        <f t="shared" si="27"/>
        <v>340</v>
      </c>
      <c r="BD265" s="210" t="str">
        <f t="shared" si="26"/>
        <v>INDENIZAÇÃO</v>
      </c>
      <c r="BE265" s="210" t="str">
        <f t="shared" si="23"/>
        <v>NÃO</v>
      </c>
      <c r="BF265" s="210" t="s">
        <v>24</v>
      </c>
      <c r="BG265" s="210" t="s">
        <v>24</v>
      </c>
      <c r="BH265" s="210" t="s">
        <v>24</v>
      </c>
      <c r="BI265" s="210" t="s">
        <v>105</v>
      </c>
      <c r="BJ265" s="210" t="s">
        <v>105</v>
      </c>
      <c r="BK265" s="213">
        <v>45510</v>
      </c>
      <c r="BL265" s="210" t="s">
        <v>105</v>
      </c>
      <c r="BM265" s="241" t="s">
        <v>220</v>
      </c>
      <c r="BN265" s="232"/>
      <c r="BO265" s="232"/>
      <c r="BP265" s="232"/>
      <c r="BQ265" s="232"/>
      <c r="BR265" s="232"/>
      <c r="BS265" s="232"/>
      <c r="BT265" s="232"/>
      <c r="BU265" s="232"/>
      <c r="BV265" s="232"/>
      <c r="BW265" s="232"/>
      <c r="BX265" s="232"/>
      <c r="BY265" s="232"/>
    </row>
    <row r="266" spans="1:77" ht="35.25" hidden="1" customHeight="1" x14ac:dyDescent="0.25">
      <c r="A266" s="210">
        <v>253</v>
      </c>
      <c r="B266" s="210" t="s">
        <v>99</v>
      </c>
      <c r="C266" s="220">
        <v>2</v>
      </c>
      <c r="D266" s="210">
        <v>0</v>
      </c>
      <c r="E266" s="210">
        <v>0</v>
      </c>
      <c r="F266" s="270" t="s">
        <v>1394</v>
      </c>
      <c r="G266" s="220" t="s">
        <v>1</v>
      </c>
      <c r="H266" s="220" t="s">
        <v>2</v>
      </c>
      <c r="I266" s="210" t="s">
        <v>12</v>
      </c>
      <c r="J266" s="270" t="s">
        <v>1395</v>
      </c>
      <c r="K266" s="270" t="s">
        <v>1396</v>
      </c>
      <c r="L266" s="270" t="s">
        <v>1397</v>
      </c>
      <c r="M266" s="232" t="s">
        <v>4</v>
      </c>
      <c r="N266" s="220" t="s">
        <v>14</v>
      </c>
      <c r="O266" s="213">
        <v>45019</v>
      </c>
      <c r="P266" s="251" t="s">
        <v>1003</v>
      </c>
      <c r="Q266" s="213" t="s">
        <v>114</v>
      </c>
      <c r="R266" s="233" t="s">
        <v>105</v>
      </c>
      <c r="S266" s="233" t="s">
        <v>105</v>
      </c>
      <c r="T266" s="251" t="s">
        <v>105</v>
      </c>
      <c r="U266" s="251">
        <v>45189</v>
      </c>
      <c r="V266" s="251" t="s">
        <v>105</v>
      </c>
      <c r="W266" s="251">
        <v>45189</v>
      </c>
      <c r="X266" s="251">
        <v>45201</v>
      </c>
      <c r="Y266" s="251">
        <v>45204</v>
      </c>
      <c r="Z266" s="251">
        <v>45209</v>
      </c>
      <c r="AA266" s="232"/>
      <c r="AB266" s="270" t="s">
        <v>1395</v>
      </c>
      <c r="AC266" s="270" t="s">
        <v>1396</v>
      </c>
      <c r="AD266" s="270" t="s">
        <v>1397</v>
      </c>
      <c r="AE266" s="220" t="s">
        <v>12</v>
      </c>
      <c r="AF266" s="210" t="s">
        <v>4</v>
      </c>
      <c r="AG266" s="230">
        <v>0</v>
      </c>
      <c r="AH266" s="230">
        <v>0</v>
      </c>
      <c r="AI266" s="232" t="s">
        <v>23</v>
      </c>
      <c r="AJ266" s="230" t="s">
        <v>104</v>
      </c>
      <c r="AK266" s="210" t="s">
        <v>105</v>
      </c>
      <c r="AL266" s="210" t="s">
        <v>24</v>
      </c>
      <c r="AM266" s="210" t="s">
        <v>24</v>
      </c>
      <c r="AN266" s="210" t="s">
        <v>24</v>
      </c>
      <c r="AO266" s="232"/>
      <c r="AP266" s="219" t="s">
        <v>24</v>
      </c>
      <c r="AQ266" s="210" t="s">
        <v>24</v>
      </c>
      <c r="AR266" s="210" t="s">
        <v>24</v>
      </c>
      <c r="AS266" s="210" t="s">
        <v>24</v>
      </c>
      <c r="AT266" s="210" t="s">
        <v>24</v>
      </c>
      <c r="AU266" s="210" t="s">
        <v>24</v>
      </c>
      <c r="AV266" s="210" t="s">
        <v>24</v>
      </c>
      <c r="AW266" s="210" t="s">
        <v>24</v>
      </c>
      <c r="AX266" s="251">
        <v>45201</v>
      </c>
      <c r="AY266" s="213">
        <v>45204</v>
      </c>
      <c r="AZ266" s="251">
        <v>45209</v>
      </c>
      <c r="BA266" s="235" t="s">
        <v>502</v>
      </c>
      <c r="BB266" s="217" t="s">
        <v>105</v>
      </c>
      <c r="BC266" s="218">
        <f t="shared" si="27"/>
        <v>185</v>
      </c>
      <c r="BD266" s="210" t="str">
        <f t="shared" si="26"/>
        <v>AA</v>
      </c>
      <c r="BE266" s="210" t="str">
        <f t="shared" si="23"/>
        <v>NÃO</v>
      </c>
      <c r="BF266" s="210" t="s">
        <v>24</v>
      </c>
      <c r="BG266" s="210" t="s">
        <v>24</v>
      </c>
      <c r="BH266" s="210" t="s">
        <v>24</v>
      </c>
      <c r="BI266" s="210" t="s">
        <v>24</v>
      </c>
      <c r="BJ266" s="210" t="s">
        <v>24</v>
      </c>
      <c r="BK266" s="210" t="s">
        <v>24</v>
      </c>
      <c r="BL266" s="210" t="s">
        <v>24</v>
      </c>
      <c r="BM266" s="265" t="s">
        <v>105</v>
      </c>
      <c r="BN266" s="232"/>
      <c r="BO266" s="232"/>
      <c r="BP266" s="232"/>
      <c r="BQ266" s="232"/>
      <c r="BR266" s="232"/>
      <c r="BS266" s="232"/>
      <c r="BT266" s="232"/>
      <c r="BU266" s="232"/>
      <c r="BV266" s="232"/>
      <c r="BW266" s="232"/>
      <c r="BX266" s="232"/>
      <c r="BY266" s="232"/>
    </row>
    <row r="267" spans="1:77" ht="35.25" hidden="1" customHeight="1" x14ac:dyDescent="0.25">
      <c r="A267" s="210"/>
      <c r="B267" s="232"/>
      <c r="C267" s="232"/>
      <c r="D267" s="232"/>
      <c r="E267" s="232"/>
      <c r="F267" s="219"/>
      <c r="G267" s="232"/>
      <c r="H267" s="232"/>
      <c r="I267" s="232"/>
      <c r="J267" s="234"/>
      <c r="K267" s="234"/>
      <c r="L267" s="234"/>
      <c r="M267" s="232"/>
      <c r="N267" s="232"/>
      <c r="O267" s="233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  <c r="AA267" s="232"/>
      <c r="AB267" s="234"/>
      <c r="AC267" s="234"/>
      <c r="AD267" s="234"/>
      <c r="AE267" s="232"/>
      <c r="AF267" s="232"/>
      <c r="AG267" s="294"/>
      <c r="AH267" s="294"/>
      <c r="AI267" s="232"/>
      <c r="AJ267" s="230"/>
      <c r="AK267" s="232"/>
      <c r="AL267" s="232"/>
      <c r="AM267" s="232"/>
      <c r="AN267" s="232"/>
      <c r="AO267" s="232"/>
      <c r="AP267" s="234"/>
      <c r="AQ267" s="232"/>
      <c r="AR267" s="232"/>
      <c r="AS267" s="232"/>
      <c r="AT267" s="232"/>
      <c r="AU267" s="232"/>
      <c r="AV267" s="232"/>
      <c r="AW267" s="232"/>
      <c r="AX267" s="233"/>
      <c r="AY267" s="233"/>
      <c r="AZ267" s="233"/>
      <c r="BA267" s="232"/>
      <c r="BB267" s="232"/>
      <c r="BC267" s="232"/>
      <c r="BD267" s="232"/>
      <c r="BE267" s="232"/>
      <c r="BF267" s="232"/>
      <c r="BG267" s="232"/>
      <c r="BH267" s="232"/>
      <c r="BI267" s="232"/>
      <c r="BJ267" s="232"/>
      <c r="BK267" s="232"/>
      <c r="BL267" s="232"/>
      <c r="BM267" s="232"/>
      <c r="BN267" s="232"/>
      <c r="BO267" s="232"/>
      <c r="BP267" s="232"/>
      <c r="BQ267" s="232"/>
      <c r="BR267" s="232"/>
      <c r="BS267" s="232"/>
      <c r="BT267" s="232"/>
      <c r="BU267" s="232"/>
      <c r="BV267" s="232"/>
      <c r="BW267" s="232"/>
      <c r="BX267" s="232"/>
      <c r="BY267" s="232"/>
    </row>
    <row r="268" spans="1:77" ht="35.25" hidden="1" customHeight="1" x14ac:dyDescent="0.25">
      <c r="A268" s="210"/>
      <c r="B268" s="232"/>
      <c r="C268" s="232"/>
      <c r="D268" s="232"/>
      <c r="E268" s="232"/>
      <c r="F268" s="282"/>
      <c r="G268" s="232"/>
      <c r="H268" s="232"/>
      <c r="I268" s="232"/>
      <c r="J268" s="234"/>
      <c r="K268" s="234"/>
      <c r="L268" s="234"/>
      <c r="M268" s="232"/>
      <c r="N268" s="232"/>
      <c r="O268" s="233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  <c r="AA268" s="232"/>
      <c r="AB268" s="234"/>
      <c r="AC268" s="234"/>
      <c r="AD268" s="234"/>
      <c r="AE268" s="232"/>
      <c r="AF268" s="232"/>
      <c r="AG268" s="294"/>
      <c r="AH268" s="294"/>
      <c r="AI268" s="232"/>
      <c r="AJ268" s="230"/>
      <c r="AK268" s="232"/>
      <c r="AL268" s="232"/>
      <c r="AM268" s="232"/>
      <c r="AN268" s="232"/>
      <c r="AO268" s="232"/>
      <c r="AP268" s="234"/>
      <c r="AQ268" s="232"/>
      <c r="AR268" s="232"/>
      <c r="AS268" s="232"/>
      <c r="AT268" s="232"/>
      <c r="AU268" s="232"/>
      <c r="AV268" s="232"/>
      <c r="AW268" s="232"/>
      <c r="AX268" s="233"/>
      <c r="AY268" s="233"/>
      <c r="AZ268" s="233"/>
      <c r="BA268" s="232"/>
      <c r="BB268" s="232"/>
      <c r="BC268" s="232"/>
      <c r="BD268" s="232"/>
      <c r="BE268" s="232"/>
      <c r="BF268" s="232"/>
      <c r="BG268" s="232"/>
      <c r="BH268" s="232"/>
      <c r="BI268" s="232"/>
      <c r="BJ268" s="232"/>
      <c r="BK268" s="232"/>
      <c r="BL268" s="232"/>
      <c r="BM268" s="232"/>
      <c r="BN268" s="232"/>
      <c r="BO268" s="232"/>
      <c r="BP268" s="232"/>
      <c r="BQ268" s="232"/>
      <c r="BR268" s="232"/>
      <c r="BS268" s="232"/>
      <c r="BT268" s="232"/>
      <c r="BU268" s="232"/>
      <c r="BV268" s="232"/>
      <c r="BW268" s="232"/>
      <c r="BX268" s="232"/>
      <c r="BY268" s="232"/>
    </row>
    <row r="269" spans="1:77" ht="35.25" hidden="1" customHeight="1" x14ac:dyDescent="0.25">
      <c r="A269" s="210"/>
      <c r="B269" s="232"/>
      <c r="C269" s="232"/>
      <c r="D269" s="232"/>
      <c r="E269" s="232"/>
      <c r="F269" s="219"/>
      <c r="G269" s="232"/>
      <c r="H269" s="232"/>
      <c r="I269" s="232"/>
      <c r="J269" s="234"/>
      <c r="K269" s="234"/>
      <c r="L269" s="234"/>
      <c r="M269" s="232"/>
      <c r="N269" s="232"/>
      <c r="O269" s="233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  <c r="AA269" s="232"/>
      <c r="AB269" s="234"/>
      <c r="AC269" s="234"/>
      <c r="AD269" s="234"/>
      <c r="AE269" s="232"/>
      <c r="AF269" s="232"/>
      <c r="AG269" s="294"/>
      <c r="AH269" s="294"/>
      <c r="AI269" s="232"/>
      <c r="AJ269" s="230"/>
      <c r="AK269" s="232"/>
      <c r="AL269" s="232"/>
      <c r="AM269" s="232"/>
      <c r="AN269" s="232"/>
      <c r="AO269" s="232"/>
      <c r="AP269" s="234"/>
      <c r="AQ269" s="232"/>
      <c r="AR269" s="232"/>
      <c r="AS269" s="232"/>
      <c r="AT269" s="232"/>
      <c r="AU269" s="232"/>
      <c r="AV269" s="232"/>
      <c r="AW269" s="232"/>
      <c r="AX269" s="233"/>
      <c r="AY269" s="233"/>
      <c r="AZ269" s="233"/>
      <c r="BA269" s="232"/>
      <c r="BB269" s="232"/>
      <c r="BC269" s="232"/>
      <c r="BD269" s="232"/>
      <c r="BE269" s="232"/>
      <c r="BF269" s="232"/>
      <c r="BG269" s="232"/>
      <c r="BH269" s="232"/>
      <c r="BI269" s="232"/>
      <c r="BJ269" s="232"/>
      <c r="BK269" s="232"/>
      <c r="BL269" s="232"/>
      <c r="BM269" s="232"/>
      <c r="BN269" s="232"/>
      <c r="BO269" s="232"/>
      <c r="BP269" s="232"/>
      <c r="BQ269" s="232"/>
      <c r="BR269" s="232"/>
      <c r="BS269" s="232"/>
      <c r="BT269" s="232"/>
      <c r="BU269" s="232"/>
      <c r="BV269" s="232"/>
      <c r="BW269" s="232"/>
      <c r="BX269" s="232"/>
      <c r="BY269" s="232"/>
    </row>
    <row r="270" spans="1:77" ht="35.25" hidden="1" customHeight="1" x14ac:dyDescent="0.25">
      <c r="A270" s="210"/>
      <c r="B270" s="232"/>
      <c r="C270" s="232"/>
      <c r="D270" s="232"/>
      <c r="E270" s="232"/>
      <c r="F270" s="219"/>
      <c r="G270" s="232"/>
      <c r="H270" s="232"/>
      <c r="I270" s="232"/>
      <c r="J270" s="234"/>
      <c r="K270" s="234"/>
      <c r="L270" s="234"/>
      <c r="M270" s="232"/>
      <c r="N270" s="232"/>
      <c r="O270" s="233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  <c r="AA270" s="232"/>
      <c r="AB270" s="234"/>
      <c r="AC270" s="234"/>
      <c r="AD270" s="234"/>
      <c r="AE270" s="232"/>
      <c r="AF270" s="232"/>
      <c r="AG270" s="294"/>
      <c r="AH270" s="294"/>
      <c r="AI270" s="232"/>
      <c r="AJ270" s="230"/>
      <c r="AK270" s="232"/>
      <c r="AL270" s="232"/>
      <c r="AM270" s="232"/>
      <c r="AN270" s="232"/>
      <c r="AO270" s="232"/>
      <c r="AP270" s="234"/>
      <c r="AQ270" s="232"/>
      <c r="AR270" s="232"/>
      <c r="AS270" s="232"/>
      <c r="AT270" s="232"/>
      <c r="AU270" s="232"/>
      <c r="AV270" s="232"/>
      <c r="AW270" s="232"/>
      <c r="AX270" s="233"/>
      <c r="AY270" s="233"/>
      <c r="AZ270" s="233"/>
      <c r="BA270" s="232"/>
      <c r="BB270" s="232"/>
      <c r="BC270" s="232"/>
      <c r="BD270" s="232"/>
      <c r="BE270" s="232"/>
      <c r="BF270" s="232"/>
      <c r="BG270" s="232"/>
      <c r="BH270" s="232"/>
      <c r="BI270" s="232"/>
      <c r="BJ270" s="232"/>
      <c r="BK270" s="232"/>
      <c r="BL270" s="232"/>
      <c r="BM270" s="232"/>
      <c r="BN270" s="232"/>
      <c r="BO270" s="232"/>
      <c r="BP270" s="232"/>
      <c r="BQ270" s="232"/>
      <c r="BR270" s="232"/>
      <c r="BS270" s="232"/>
      <c r="BT270" s="232"/>
      <c r="BU270" s="232"/>
      <c r="BV270" s="232"/>
      <c r="BW270" s="232"/>
      <c r="BX270" s="232"/>
      <c r="BY270" s="232"/>
    </row>
    <row r="271" spans="1:77" ht="35.25" hidden="1" customHeight="1" x14ac:dyDescent="0.25">
      <c r="A271" s="210"/>
      <c r="B271" s="232"/>
      <c r="C271" s="232"/>
      <c r="D271" s="232"/>
      <c r="E271" s="232"/>
      <c r="F271" s="219"/>
      <c r="G271" s="232"/>
      <c r="H271" s="232"/>
      <c r="I271" s="232"/>
      <c r="J271" s="234"/>
      <c r="K271" s="234"/>
      <c r="L271" s="234"/>
      <c r="M271" s="232"/>
      <c r="N271" s="232"/>
      <c r="O271" s="233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  <c r="AA271" s="232"/>
      <c r="AB271" s="234"/>
      <c r="AC271" s="234"/>
      <c r="AD271" s="234"/>
      <c r="AE271" s="232"/>
      <c r="AF271" s="232"/>
      <c r="AG271" s="294"/>
      <c r="AH271" s="294"/>
      <c r="AI271" s="232"/>
      <c r="AJ271" s="230"/>
      <c r="AK271" s="232"/>
      <c r="AL271" s="232"/>
      <c r="AM271" s="232"/>
      <c r="AN271" s="232"/>
      <c r="AO271" s="232"/>
      <c r="AP271" s="234"/>
      <c r="AQ271" s="232"/>
      <c r="AR271" s="232"/>
      <c r="AS271" s="232"/>
      <c r="AT271" s="232"/>
      <c r="AU271" s="232"/>
      <c r="AV271" s="232"/>
      <c r="AW271" s="232"/>
      <c r="AX271" s="233"/>
      <c r="AY271" s="233"/>
      <c r="AZ271" s="233"/>
      <c r="BA271" s="232"/>
      <c r="BB271" s="232"/>
      <c r="BC271" s="232"/>
      <c r="BD271" s="232"/>
      <c r="BE271" s="232"/>
      <c r="BF271" s="232"/>
      <c r="BG271" s="232"/>
      <c r="BH271" s="232"/>
      <c r="BI271" s="232"/>
      <c r="BJ271" s="232"/>
      <c r="BK271" s="232"/>
      <c r="BL271" s="232"/>
      <c r="BM271" s="232"/>
      <c r="BN271" s="232"/>
      <c r="BO271" s="232"/>
      <c r="BP271" s="232"/>
      <c r="BQ271" s="232"/>
      <c r="BR271" s="232"/>
      <c r="BS271" s="232"/>
      <c r="BT271" s="232"/>
      <c r="BU271" s="232"/>
      <c r="BV271" s="232"/>
      <c r="BW271" s="232"/>
      <c r="BX271" s="232"/>
      <c r="BY271" s="232"/>
    </row>
    <row r="272" spans="1:77" ht="35.25" hidden="1" customHeight="1" x14ac:dyDescent="0.25">
      <c r="A272" s="210"/>
      <c r="B272" s="232"/>
      <c r="C272" s="232"/>
      <c r="D272" s="232"/>
      <c r="E272" s="232"/>
      <c r="F272" s="282"/>
      <c r="G272" s="232"/>
      <c r="H272" s="232"/>
      <c r="I272" s="232"/>
      <c r="J272" s="234"/>
      <c r="K272" s="234"/>
      <c r="L272" s="234"/>
      <c r="M272" s="232"/>
      <c r="N272" s="232"/>
      <c r="O272" s="233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  <c r="AA272" s="232"/>
      <c r="AB272" s="234"/>
      <c r="AC272" s="234"/>
      <c r="AD272" s="234"/>
      <c r="AE272" s="232"/>
      <c r="AF272" s="232"/>
      <c r="AG272" s="294"/>
      <c r="AH272" s="294"/>
      <c r="AI272" s="232"/>
      <c r="AJ272" s="230"/>
      <c r="AK272" s="232"/>
      <c r="AL272" s="232"/>
      <c r="AM272" s="232"/>
      <c r="AN272" s="232"/>
      <c r="AO272" s="232"/>
      <c r="AP272" s="234"/>
      <c r="AQ272" s="232"/>
      <c r="AR272" s="232"/>
      <c r="AS272" s="232"/>
      <c r="AT272" s="232"/>
      <c r="AU272" s="232"/>
      <c r="AV272" s="232"/>
      <c r="AW272" s="232"/>
      <c r="AX272" s="233"/>
      <c r="AY272" s="233"/>
      <c r="AZ272" s="233"/>
      <c r="BA272" s="232"/>
      <c r="BB272" s="232"/>
      <c r="BC272" s="232"/>
      <c r="BD272" s="232"/>
      <c r="BE272" s="232"/>
      <c r="BF272" s="232"/>
      <c r="BG272" s="232"/>
      <c r="BH272" s="232"/>
      <c r="BI272" s="232"/>
      <c r="BJ272" s="232"/>
      <c r="BK272" s="232"/>
      <c r="BL272" s="232"/>
      <c r="BM272" s="232"/>
      <c r="BN272" s="232"/>
      <c r="BO272" s="232"/>
      <c r="BP272" s="232"/>
      <c r="BQ272" s="232"/>
      <c r="BR272" s="232"/>
      <c r="BS272" s="232"/>
      <c r="BT272" s="232"/>
      <c r="BU272" s="232"/>
      <c r="BV272" s="232"/>
      <c r="BW272" s="232"/>
      <c r="BX272" s="232"/>
      <c r="BY272" s="232"/>
    </row>
    <row r="273" spans="1:77" ht="35.25" hidden="1" customHeight="1" x14ac:dyDescent="0.25">
      <c r="A273" s="210"/>
      <c r="B273" s="232"/>
      <c r="C273" s="232"/>
      <c r="D273" s="232"/>
      <c r="E273" s="232"/>
      <c r="F273" s="282"/>
      <c r="G273" s="232"/>
      <c r="H273" s="232"/>
      <c r="I273" s="232"/>
      <c r="J273" s="234"/>
      <c r="K273" s="234"/>
      <c r="L273" s="234"/>
      <c r="M273" s="232"/>
      <c r="N273" s="232"/>
      <c r="O273" s="233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  <c r="AA273" s="232"/>
      <c r="AB273" s="234"/>
      <c r="AC273" s="234"/>
      <c r="AD273" s="234"/>
      <c r="AE273" s="232"/>
      <c r="AF273" s="232"/>
      <c r="AG273" s="294"/>
      <c r="AH273" s="294"/>
      <c r="AI273" s="232"/>
      <c r="AJ273" s="230"/>
      <c r="AK273" s="232"/>
      <c r="AL273" s="232"/>
      <c r="AM273" s="232"/>
      <c r="AN273" s="232"/>
      <c r="AO273" s="232"/>
      <c r="AP273" s="234"/>
      <c r="AQ273" s="232"/>
      <c r="AR273" s="232"/>
      <c r="AS273" s="232"/>
      <c r="AT273" s="232"/>
      <c r="AU273" s="232"/>
      <c r="AV273" s="232"/>
      <c r="AW273" s="232"/>
      <c r="AX273" s="233"/>
      <c r="AY273" s="233"/>
      <c r="AZ273" s="232"/>
      <c r="BA273" s="232"/>
      <c r="BB273" s="232"/>
      <c r="BC273" s="232"/>
      <c r="BD273" s="232"/>
      <c r="BE273" s="232"/>
      <c r="BF273" s="232"/>
      <c r="BG273" s="232"/>
      <c r="BH273" s="232"/>
      <c r="BI273" s="232"/>
      <c r="BJ273" s="232"/>
      <c r="BK273" s="232"/>
      <c r="BL273" s="232"/>
      <c r="BM273" s="232"/>
      <c r="BN273" s="232"/>
      <c r="BO273" s="232"/>
      <c r="BP273" s="232"/>
      <c r="BQ273" s="232"/>
      <c r="BR273" s="232"/>
      <c r="BS273" s="232"/>
      <c r="BT273" s="232"/>
      <c r="BU273" s="232"/>
      <c r="BV273" s="232"/>
      <c r="BW273" s="232"/>
      <c r="BX273" s="232"/>
      <c r="BY273" s="232"/>
    </row>
    <row r="274" spans="1:77" ht="35.25" hidden="1" customHeight="1" x14ac:dyDescent="0.25">
      <c r="A274" s="210"/>
      <c r="B274" s="232"/>
      <c r="C274" s="232"/>
      <c r="D274" s="232"/>
      <c r="E274" s="232"/>
      <c r="F274" s="282"/>
      <c r="G274" s="232"/>
      <c r="H274" s="232"/>
      <c r="I274" s="232"/>
      <c r="J274" s="234"/>
      <c r="K274" s="234"/>
      <c r="L274" s="234"/>
      <c r="M274" s="232"/>
      <c r="N274" s="232"/>
      <c r="O274" s="233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  <c r="AA274" s="232"/>
      <c r="AB274" s="234"/>
      <c r="AC274" s="234"/>
      <c r="AD274" s="234"/>
      <c r="AE274" s="232"/>
      <c r="AF274" s="232"/>
      <c r="AG274" s="294"/>
      <c r="AH274" s="294"/>
      <c r="AI274" s="232"/>
      <c r="AJ274" s="230"/>
      <c r="AK274" s="232"/>
      <c r="AL274" s="232"/>
      <c r="AM274" s="232"/>
      <c r="AN274" s="232"/>
      <c r="AO274" s="232"/>
      <c r="AP274" s="234"/>
      <c r="AQ274" s="232"/>
      <c r="AR274" s="232"/>
      <c r="AS274" s="232"/>
      <c r="AT274" s="232"/>
      <c r="AU274" s="232"/>
      <c r="AV274" s="232"/>
      <c r="AW274" s="232"/>
      <c r="AX274" s="233"/>
      <c r="AY274" s="233"/>
      <c r="AZ274" s="232"/>
      <c r="BA274" s="232"/>
      <c r="BB274" s="232"/>
      <c r="BC274" s="232"/>
      <c r="BD274" s="232"/>
      <c r="BE274" s="232"/>
      <c r="BF274" s="232"/>
      <c r="BG274" s="232"/>
      <c r="BH274" s="232"/>
      <c r="BI274" s="232"/>
      <c r="BJ274" s="232"/>
      <c r="BK274" s="232"/>
      <c r="BL274" s="232"/>
      <c r="BM274" s="232"/>
      <c r="BN274" s="232"/>
      <c r="BO274" s="232"/>
      <c r="BP274" s="232"/>
      <c r="BQ274" s="232"/>
      <c r="BR274" s="232"/>
      <c r="BS274" s="232"/>
      <c r="BT274" s="232"/>
      <c r="BU274" s="232"/>
      <c r="BV274" s="232"/>
      <c r="BW274" s="232"/>
      <c r="BX274" s="232"/>
      <c r="BY274" s="232"/>
    </row>
    <row r="275" spans="1:77" ht="35.25" hidden="1" customHeight="1" x14ac:dyDescent="0.25">
      <c r="A275" s="210"/>
      <c r="B275" s="232"/>
      <c r="C275" s="232"/>
      <c r="D275" s="232"/>
      <c r="E275" s="232"/>
      <c r="F275" s="219"/>
      <c r="G275" s="232"/>
      <c r="H275" s="232"/>
      <c r="I275" s="232"/>
      <c r="J275" s="234"/>
      <c r="K275" s="234"/>
      <c r="L275" s="234"/>
      <c r="M275" s="232"/>
      <c r="N275" s="232"/>
      <c r="O275" s="233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  <c r="AA275" s="232"/>
      <c r="AB275" s="234"/>
      <c r="AC275" s="234"/>
      <c r="AD275" s="234"/>
      <c r="AE275" s="232"/>
      <c r="AF275" s="232"/>
      <c r="AG275" s="294"/>
      <c r="AH275" s="294"/>
      <c r="AI275" s="232"/>
      <c r="AJ275" s="232"/>
      <c r="AK275" s="232"/>
      <c r="AL275" s="232"/>
      <c r="AM275" s="232"/>
      <c r="AN275" s="232"/>
      <c r="AO275" s="232"/>
      <c r="AP275" s="234"/>
      <c r="AQ275" s="232"/>
      <c r="AR275" s="232"/>
      <c r="AS275" s="232"/>
      <c r="AT275" s="232"/>
      <c r="AU275" s="232"/>
      <c r="AV275" s="232"/>
      <c r="AW275" s="232"/>
      <c r="AX275" s="233"/>
      <c r="AY275" s="233"/>
      <c r="AZ275" s="232"/>
      <c r="BA275" s="232"/>
      <c r="BB275" s="232"/>
      <c r="BC275" s="232"/>
      <c r="BD275" s="232"/>
      <c r="BE275" s="232"/>
      <c r="BF275" s="232"/>
      <c r="BG275" s="232"/>
      <c r="BH275" s="232"/>
      <c r="BI275" s="232"/>
      <c r="BJ275" s="232"/>
      <c r="BK275" s="232"/>
      <c r="BL275" s="232"/>
      <c r="BM275" s="232"/>
      <c r="BN275" s="232"/>
      <c r="BO275" s="232"/>
      <c r="BP275" s="232"/>
      <c r="BQ275" s="232"/>
      <c r="BR275" s="232"/>
      <c r="BS275" s="232"/>
      <c r="BT275" s="232"/>
      <c r="BU275" s="232"/>
      <c r="BV275" s="232"/>
      <c r="BW275" s="232"/>
      <c r="BX275" s="232"/>
      <c r="BY275" s="232"/>
    </row>
    <row r="276" spans="1:77" ht="35.25" hidden="1" customHeight="1" x14ac:dyDescent="0.25">
      <c r="A276" s="210"/>
      <c r="B276" s="232"/>
      <c r="C276" s="232"/>
      <c r="D276" s="232"/>
      <c r="E276" s="232"/>
      <c r="F276" s="219"/>
      <c r="G276" s="232"/>
      <c r="H276" s="232"/>
      <c r="I276" s="232"/>
      <c r="J276" s="234"/>
      <c r="K276" s="234"/>
      <c r="L276" s="234"/>
      <c r="M276" s="232"/>
      <c r="N276" s="232"/>
      <c r="O276" s="233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  <c r="AA276" s="232"/>
      <c r="AB276" s="234"/>
      <c r="AC276" s="234"/>
      <c r="AD276" s="234"/>
      <c r="AE276" s="232"/>
      <c r="AF276" s="232"/>
      <c r="AG276" s="294"/>
      <c r="AH276" s="294"/>
      <c r="AI276" s="232"/>
      <c r="AJ276" s="232"/>
      <c r="AK276" s="232"/>
      <c r="AL276" s="232"/>
      <c r="AM276" s="232"/>
      <c r="AN276" s="232"/>
      <c r="AO276" s="232"/>
      <c r="AP276" s="234"/>
      <c r="AQ276" s="232"/>
      <c r="AR276" s="232"/>
      <c r="AS276" s="232"/>
      <c r="AT276" s="232"/>
      <c r="AU276" s="232"/>
      <c r="AV276" s="232"/>
      <c r="AW276" s="232"/>
      <c r="AX276" s="233"/>
      <c r="AY276" s="233"/>
      <c r="AZ276" s="232"/>
      <c r="BA276" s="232"/>
      <c r="BB276" s="232"/>
      <c r="BC276" s="232"/>
      <c r="BD276" s="232"/>
      <c r="BE276" s="232"/>
      <c r="BF276" s="232"/>
      <c r="BG276" s="232"/>
      <c r="BH276" s="232"/>
      <c r="BI276" s="232"/>
      <c r="BJ276" s="232"/>
      <c r="BK276" s="232"/>
      <c r="BL276" s="232"/>
      <c r="BM276" s="232"/>
      <c r="BN276" s="232"/>
      <c r="BO276" s="232"/>
      <c r="BP276" s="232"/>
      <c r="BQ276" s="232"/>
      <c r="BR276" s="232"/>
      <c r="BS276" s="232"/>
      <c r="BT276" s="232"/>
      <c r="BU276" s="232"/>
      <c r="BV276" s="232"/>
      <c r="BW276" s="232"/>
      <c r="BX276" s="232"/>
      <c r="BY276" s="232"/>
    </row>
    <row r="277" spans="1:77" ht="35.25" hidden="1" customHeight="1" x14ac:dyDescent="0.25">
      <c r="A277" s="210"/>
      <c r="B277" s="232"/>
      <c r="C277" s="232"/>
      <c r="D277" s="232"/>
      <c r="E277" s="232"/>
      <c r="F277" s="282"/>
      <c r="G277" s="232"/>
      <c r="H277" s="232"/>
      <c r="I277" s="232"/>
      <c r="J277" s="234"/>
      <c r="K277" s="234"/>
      <c r="L277" s="234"/>
      <c r="M277" s="232"/>
      <c r="N277" s="232"/>
      <c r="O277" s="233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  <c r="AA277" s="232"/>
      <c r="AB277" s="234"/>
      <c r="AC277" s="234"/>
      <c r="AD277" s="234"/>
      <c r="AE277" s="232"/>
      <c r="AF277" s="232"/>
      <c r="AG277" s="294"/>
      <c r="AH277" s="294"/>
      <c r="AI277" s="232"/>
      <c r="AJ277" s="232"/>
      <c r="AK277" s="232"/>
      <c r="AL277" s="232"/>
      <c r="AM277" s="232"/>
      <c r="AN277" s="232"/>
      <c r="AO277" s="232"/>
      <c r="AP277" s="234"/>
      <c r="AQ277" s="232"/>
      <c r="AR277" s="232"/>
      <c r="AS277" s="232"/>
      <c r="AT277" s="232"/>
      <c r="AU277" s="232"/>
      <c r="AV277" s="232"/>
      <c r="AW277" s="232"/>
      <c r="AX277" s="233"/>
      <c r="AY277" s="233"/>
      <c r="AZ277" s="232"/>
      <c r="BA277" s="232"/>
      <c r="BB277" s="232"/>
      <c r="BC277" s="232"/>
      <c r="BD277" s="232"/>
      <c r="BE277" s="232"/>
      <c r="BF277" s="232"/>
      <c r="BG277" s="232"/>
      <c r="BH277" s="232"/>
      <c r="BI277" s="232"/>
      <c r="BJ277" s="232"/>
      <c r="BK277" s="232"/>
      <c r="BL277" s="232"/>
      <c r="BM277" s="232"/>
      <c r="BN277" s="232"/>
      <c r="BO277" s="232"/>
      <c r="BP277" s="232"/>
      <c r="BQ277" s="232"/>
      <c r="BR277" s="232"/>
      <c r="BS277" s="232"/>
      <c r="BT277" s="232"/>
      <c r="BU277" s="232"/>
      <c r="BV277" s="232"/>
      <c r="BW277" s="232"/>
      <c r="BX277" s="232"/>
      <c r="BY277" s="232"/>
    </row>
    <row r="278" spans="1:77" ht="35.25" hidden="1" customHeight="1" x14ac:dyDescent="0.25">
      <c r="A278" s="210"/>
      <c r="B278" s="232"/>
      <c r="C278" s="232"/>
      <c r="D278" s="232"/>
      <c r="E278" s="232"/>
      <c r="F278" s="282"/>
      <c r="G278" s="232"/>
      <c r="H278" s="232"/>
      <c r="I278" s="232"/>
      <c r="J278" s="234"/>
      <c r="K278" s="234"/>
      <c r="L278" s="234"/>
      <c r="M278" s="232"/>
      <c r="N278" s="232"/>
      <c r="O278" s="233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  <c r="AA278" s="232"/>
      <c r="AB278" s="234"/>
      <c r="AC278" s="234"/>
      <c r="AD278" s="234"/>
      <c r="AE278" s="232"/>
      <c r="AF278" s="232"/>
      <c r="AG278" s="294"/>
      <c r="AH278" s="294"/>
      <c r="AI278" s="232"/>
      <c r="AJ278" s="232"/>
      <c r="AK278" s="232"/>
      <c r="AL278" s="232"/>
      <c r="AM278" s="232"/>
      <c r="AN278" s="232"/>
      <c r="AO278" s="232"/>
      <c r="AP278" s="234"/>
      <c r="AQ278" s="232"/>
      <c r="AR278" s="232"/>
      <c r="AS278" s="232"/>
      <c r="AT278" s="232"/>
      <c r="AU278" s="232"/>
      <c r="AV278" s="232"/>
      <c r="AW278" s="232"/>
      <c r="AX278" s="233"/>
      <c r="AY278" s="233"/>
      <c r="AZ278" s="232"/>
      <c r="BA278" s="232"/>
      <c r="BB278" s="232"/>
      <c r="BC278" s="232"/>
      <c r="BD278" s="232"/>
      <c r="BE278" s="232"/>
      <c r="BF278" s="232"/>
      <c r="BG278" s="232"/>
      <c r="BH278" s="232"/>
      <c r="BI278" s="232"/>
      <c r="BJ278" s="232"/>
      <c r="BK278" s="232"/>
      <c r="BL278" s="232"/>
      <c r="BM278" s="232"/>
      <c r="BN278" s="232"/>
      <c r="BO278" s="232"/>
      <c r="BP278" s="232"/>
      <c r="BQ278" s="232"/>
      <c r="BR278" s="232"/>
      <c r="BS278" s="232"/>
      <c r="BT278" s="232"/>
      <c r="BU278" s="232"/>
      <c r="BV278" s="232"/>
      <c r="BW278" s="232"/>
      <c r="BX278" s="232"/>
      <c r="BY278" s="232"/>
    </row>
    <row r="279" spans="1:77" ht="35.25" hidden="1" customHeight="1" x14ac:dyDescent="0.25">
      <c r="A279" s="210"/>
      <c r="B279" s="232"/>
      <c r="C279" s="232"/>
      <c r="D279" s="232"/>
      <c r="E279" s="232"/>
      <c r="F279" s="282"/>
      <c r="G279" s="232"/>
      <c r="H279" s="232"/>
      <c r="I279" s="232"/>
      <c r="J279" s="234"/>
      <c r="K279" s="234"/>
      <c r="L279" s="234"/>
      <c r="M279" s="232"/>
      <c r="N279" s="232"/>
      <c r="O279" s="233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  <c r="AA279" s="232"/>
      <c r="AB279" s="234"/>
      <c r="AC279" s="234"/>
      <c r="AD279" s="234"/>
      <c r="AE279" s="232"/>
      <c r="AF279" s="232"/>
      <c r="AG279" s="294"/>
      <c r="AH279" s="294"/>
      <c r="AI279" s="232"/>
      <c r="AJ279" s="232"/>
      <c r="AK279" s="232"/>
      <c r="AL279" s="232"/>
      <c r="AM279" s="232"/>
      <c r="AN279" s="232"/>
      <c r="AO279" s="232"/>
      <c r="AP279" s="234"/>
      <c r="AQ279" s="232"/>
      <c r="AR279" s="232"/>
      <c r="AS279" s="232"/>
      <c r="AT279" s="232"/>
      <c r="AU279" s="232"/>
      <c r="AV279" s="232"/>
      <c r="AW279" s="232"/>
      <c r="AX279" s="233"/>
      <c r="AY279" s="233"/>
      <c r="AZ279" s="232"/>
      <c r="BA279" s="232"/>
      <c r="BB279" s="232"/>
      <c r="BC279" s="232"/>
      <c r="BD279" s="232"/>
      <c r="BE279" s="232"/>
      <c r="BF279" s="232"/>
      <c r="BG279" s="232"/>
      <c r="BH279" s="232"/>
      <c r="BI279" s="232"/>
      <c r="BJ279" s="232"/>
      <c r="BK279" s="232"/>
      <c r="BL279" s="232"/>
      <c r="BM279" s="232"/>
      <c r="BN279" s="232"/>
      <c r="BO279" s="232"/>
      <c r="BP279" s="232"/>
      <c r="BQ279" s="232"/>
      <c r="BR279" s="232"/>
      <c r="BS279" s="232"/>
      <c r="BT279" s="232"/>
      <c r="BU279" s="232"/>
      <c r="BV279" s="232"/>
      <c r="BW279" s="232"/>
      <c r="BX279" s="232"/>
      <c r="BY279" s="232"/>
    </row>
    <row r="280" spans="1:77" ht="35.25" hidden="1" customHeight="1" x14ac:dyDescent="0.25">
      <c r="A280" s="210"/>
      <c r="B280" s="232"/>
      <c r="C280" s="232"/>
      <c r="D280" s="232"/>
      <c r="E280" s="232"/>
      <c r="F280" s="219"/>
      <c r="G280" s="232"/>
      <c r="H280" s="232"/>
      <c r="I280" s="232"/>
      <c r="J280" s="234"/>
      <c r="K280" s="234"/>
      <c r="L280" s="234"/>
      <c r="M280" s="232"/>
      <c r="N280" s="232"/>
      <c r="O280" s="233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  <c r="AA280" s="232"/>
      <c r="AB280" s="234"/>
      <c r="AC280" s="234"/>
      <c r="AD280" s="234"/>
      <c r="AE280" s="232"/>
      <c r="AF280" s="232"/>
      <c r="AG280" s="294"/>
      <c r="AH280" s="294"/>
      <c r="AI280" s="232"/>
      <c r="AJ280" s="232"/>
      <c r="AK280" s="232"/>
      <c r="AL280" s="232"/>
      <c r="AM280" s="232"/>
      <c r="AN280" s="232"/>
      <c r="AO280" s="232"/>
      <c r="AP280" s="234"/>
      <c r="AQ280" s="232"/>
      <c r="AR280" s="232"/>
      <c r="AS280" s="232"/>
      <c r="AT280" s="232"/>
      <c r="AU280" s="232"/>
      <c r="AV280" s="232"/>
      <c r="AW280" s="232"/>
      <c r="AX280" s="233"/>
      <c r="AY280" s="233"/>
      <c r="AZ280" s="232"/>
      <c r="BA280" s="232"/>
      <c r="BB280" s="232"/>
      <c r="BC280" s="232"/>
      <c r="BD280" s="232"/>
      <c r="BE280" s="232"/>
      <c r="BF280" s="232"/>
      <c r="BG280" s="232"/>
      <c r="BH280" s="232"/>
      <c r="BI280" s="232"/>
      <c r="BJ280" s="232"/>
      <c r="BK280" s="232"/>
      <c r="BL280" s="232"/>
      <c r="BM280" s="232"/>
      <c r="BN280" s="232"/>
      <c r="BO280" s="232"/>
      <c r="BP280" s="232"/>
      <c r="BQ280" s="232"/>
      <c r="BR280" s="232"/>
      <c r="BS280" s="232"/>
      <c r="BT280" s="232"/>
      <c r="BU280" s="232"/>
      <c r="BV280" s="232"/>
      <c r="BW280" s="232"/>
      <c r="BX280" s="232"/>
      <c r="BY280" s="232"/>
    </row>
    <row r="281" spans="1:77" ht="35.25" hidden="1" customHeight="1" x14ac:dyDescent="0.25">
      <c r="A281" s="210"/>
      <c r="B281" s="232"/>
      <c r="C281" s="232"/>
      <c r="D281" s="232"/>
      <c r="E281" s="232"/>
      <c r="F281" s="219"/>
      <c r="G281" s="232"/>
      <c r="H281" s="232"/>
      <c r="I281" s="232"/>
      <c r="J281" s="234"/>
      <c r="K281" s="234"/>
      <c r="L281" s="234"/>
      <c r="M281" s="232"/>
      <c r="N281" s="232"/>
      <c r="O281" s="233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  <c r="AA281" s="232"/>
      <c r="AB281" s="234"/>
      <c r="AC281" s="234"/>
      <c r="AD281" s="234"/>
      <c r="AE281" s="232"/>
      <c r="AF281" s="232"/>
      <c r="AG281" s="294"/>
      <c r="AH281" s="294"/>
      <c r="AI281" s="232"/>
      <c r="AJ281" s="232"/>
      <c r="AK281" s="232"/>
      <c r="AL281" s="232"/>
      <c r="AM281" s="232"/>
      <c r="AN281" s="232"/>
      <c r="AO281" s="232"/>
      <c r="AP281" s="234"/>
      <c r="AQ281" s="232"/>
      <c r="AR281" s="232"/>
      <c r="AS281" s="232"/>
      <c r="AT281" s="232"/>
      <c r="AU281" s="232"/>
      <c r="AV281" s="232"/>
      <c r="AW281" s="232"/>
      <c r="AX281" s="233"/>
      <c r="AY281" s="233"/>
      <c r="AZ281" s="232"/>
      <c r="BA281" s="232"/>
      <c r="BB281" s="232"/>
      <c r="BC281" s="232"/>
      <c r="BD281" s="232"/>
      <c r="BE281" s="232"/>
      <c r="BF281" s="232"/>
      <c r="BG281" s="232"/>
      <c r="BH281" s="232"/>
      <c r="BI281" s="232"/>
      <c r="BJ281" s="232"/>
      <c r="BK281" s="232"/>
      <c r="BL281" s="232"/>
      <c r="BM281" s="232"/>
      <c r="BN281" s="232"/>
      <c r="BO281" s="232"/>
      <c r="BP281" s="232"/>
      <c r="BQ281" s="232"/>
      <c r="BR281" s="232"/>
      <c r="BS281" s="232"/>
      <c r="BT281" s="232"/>
      <c r="BU281" s="232"/>
      <c r="BV281" s="232"/>
      <c r="BW281" s="232"/>
      <c r="BX281" s="232"/>
      <c r="BY281" s="232"/>
    </row>
    <row r="282" spans="1:77" ht="35.25" hidden="1" customHeight="1" x14ac:dyDescent="0.25">
      <c r="A282" s="210"/>
      <c r="B282" s="232"/>
      <c r="C282" s="232"/>
      <c r="D282" s="232"/>
      <c r="E282" s="232"/>
      <c r="F282" s="219"/>
      <c r="G282" s="232"/>
      <c r="H282" s="232"/>
      <c r="I282" s="232"/>
      <c r="J282" s="234"/>
      <c r="K282" s="234"/>
      <c r="L282" s="234"/>
      <c r="M282" s="232"/>
      <c r="N282" s="232"/>
      <c r="O282" s="233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  <c r="AA282" s="232"/>
      <c r="AB282" s="234"/>
      <c r="AC282" s="234"/>
      <c r="AD282" s="234"/>
      <c r="AE282" s="232"/>
      <c r="AF282" s="232"/>
      <c r="AG282" s="294"/>
      <c r="AH282" s="294"/>
      <c r="AI282" s="232"/>
      <c r="AJ282" s="232"/>
      <c r="AK282" s="232"/>
      <c r="AL282" s="232"/>
      <c r="AM282" s="232"/>
      <c r="AN282" s="232"/>
      <c r="AO282" s="232"/>
      <c r="AP282" s="234"/>
      <c r="AQ282" s="232"/>
      <c r="AR282" s="232"/>
      <c r="AS282" s="232"/>
      <c r="AT282" s="232"/>
      <c r="AU282" s="232"/>
      <c r="AV282" s="232"/>
      <c r="AW282" s="232"/>
      <c r="AX282" s="233"/>
      <c r="AY282" s="233"/>
      <c r="AZ282" s="232"/>
      <c r="BA282" s="232"/>
      <c r="BB282" s="232"/>
      <c r="BC282" s="232"/>
      <c r="BD282" s="232"/>
      <c r="BE282" s="232"/>
      <c r="BF282" s="232"/>
      <c r="BG282" s="232"/>
      <c r="BH282" s="232"/>
      <c r="BI282" s="232"/>
      <c r="BJ282" s="232"/>
      <c r="BK282" s="232"/>
      <c r="BL282" s="232"/>
      <c r="BM282" s="232"/>
      <c r="BN282" s="232"/>
      <c r="BO282" s="232"/>
      <c r="BP282" s="232"/>
      <c r="BQ282" s="232"/>
      <c r="BR282" s="232"/>
      <c r="BS282" s="232"/>
      <c r="BT282" s="232"/>
      <c r="BU282" s="232"/>
      <c r="BV282" s="232"/>
      <c r="BW282" s="232"/>
      <c r="BX282" s="232"/>
      <c r="BY282" s="232"/>
    </row>
    <row r="283" spans="1:77" ht="35.25" hidden="1" customHeight="1" x14ac:dyDescent="0.25">
      <c r="A283" s="210"/>
      <c r="B283" s="232"/>
      <c r="C283" s="232"/>
      <c r="D283" s="232"/>
      <c r="E283" s="232"/>
      <c r="F283" s="282"/>
      <c r="G283" s="232"/>
      <c r="H283" s="232"/>
      <c r="I283" s="232"/>
      <c r="J283" s="234"/>
      <c r="K283" s="234"/>
      <c r="L283" s="234"/>
      <c r="M283" s="232"/>
      <c r="N283" s="232"/>
      <c r="O283" s="233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  <c r="AA283" s="232"/>
      <c r="AB283" s="234"/>
      <c r="AC283" s="234"/>
      <c r="AD283" s="234"/>
      <c r="AE283" s="232"/>
      <c r="AF283" s="232"/>
      <c r="AG283" s="294"/>
      <c r="AH283" s="294"/>
      <c r="AI283" s="232"/>
      <c r="AJ283" s="232"/>
      <c r="AK283" s="232"/>
      <c r="AL283" s="232"/>
      <c r="AM283" s="232"/>
      <c r="AN283" s="232"/>
      <c r="AO283" s="232"/>
      <c r="AP283" s="234"/>
      <c r="AQ283" s="232"/>
      <c r="AR283" s="232"/>
      <c r="AS283" s="232"/>
      <c r="AT283" s="232"/>
      <c r="AU283" s="232"/>
      <c r="AV283" s="232"/>
      <c r="AW283" s="232"/>
      <c r="AX283" s="233"/>
      <c r="AY283" s="233"/>
      <c r="AZ283" s="232"/>
      <c r="BA283" s="232"/>
      <c r="BB283" s="232"/>
      <c r="BC283" s="232"/>
      <c r="BD283" s="232"/>
      <c r="BE283" s="232"/>
      <c r="BF283" s="232"/>
      <c r="BG283" s="232"/>
      <c r="BH283" s="232"/>
      <c r="BI283" s="232"/>
      <c r="BJ283" s="232"/>
      <c r="BK283" s="232"/>
      <c r="BL283" s="232"/>
      <c r="BM283" s="232"/>
      <c r="BN283" s="232"/>
      <c r="BO283" s="232"/>
      <c r="BP283" s="232"/>
      <c r="BQ283" s="232"/>
      <c r="BR283" s="232"/>
      <c r="BS283" s="232"/>
      <c r="BT283" s="232"/>
      <c r="BU283" s="232"/>
      <c r="BV283" s="232"/>
      <c r="BW283" s="232"/>
      <c r="BX283" s="232"/>
      <c r="BY283" s="232"/>
    </row>
    <row r="284" spans="1:77" ht="35.25" hidden="1" customHeight="1" x14ac:dyDescent="0.25">
      <c r="A284" s="210"/>
      <c r="B284" s="232"/>
      <c r="C284" s="232"/>
      <c r="D284" s="232"/>
      <c r="E284" s="232"/>
      <c r="F284" s="219"/>
      <c r="G284" s="232"/>
      <c r="H284" s="232"/>
      <c r="I284" s="232"/>
      <c r="J284" s="234"/>
      <c r="K284" s="234"/>
      <c r="L284" s="234"/>
      <c r="M284" s="232"/>
      <c r="N284" s="232"/>
      <c r="O284" s="233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  <c r="AA284" s="232"/>
      <c r="AB284" s="234"/>
      <c r="AC284" s="234"/>
      <c r="AD284" s="234"/>
      <c r="AE284" s="232"/>
      <c r="AF284" s="232"/>
      <c r="AG284" s="294"/>
      <c r="AH284" s="294"/>
      <c r="AI284" s="232"/>
      <c r="AJ284" s="232"/>
      <c r="AK284" s="232"/>
      <c r="AL284" s="232"/>
      <c r="AM284" s="232"/>
      <c r="AN284" s="232"/>
      <c r="AO284" s="232"/>
      <c r="AP284" s="234"/>
      <c r="AQ284" s="232"/>
      <c r="AR284" s="232"/>
      <c r="AS284" s="232"/>
      <c r="AT284" s="232"/>
      <c r="AU284" s="232"/>
      <c r="AV284" s="232"/>
      <c r="AW284" s="232"/>
      <c r="AX284" s="233"/>
      <c r="AY284" s="233"/>
      <c r="AZ284" s="232"/>
      <c r="BA284" s="232"/>
      <c r="BB284" s="232"/>
      <c r="BC284" s="232"/>
      <c r="BD284" s="232"/>
      <c r="BE284" s="232"/>
      <c r="BF284" s="232"/>
      <c r="BG284" s="232"/>
      <c r="BH284" s="232"/>
      <c r="BI284" s="232"/>
      <c r="BJ284" s="232"/>
      <c r="BK284" s="232"/>
      <c r="BL284" s="232"/>
      <c r="BM284" s="232"/>
      <c r="BN284" s="232"/>
      <c r="BO284" s="232"/>
      <c r="BP284" s="232"/>
      <c r="BQ284" s="232"/>
      <c r="BR284" s="232"/>
      <c r="BS284" s="232"/>
      <c r="BT284" s="232"/>
      <c r="BU284" s="232"/>
      <c r="BV284" s="232"/>
      <c r="BW284" s="232"/>
      <c r="BX284" s="232"/>
      <c r="BY284" s="232"/>
    </row>
    <row r="285" spans="1:77" ht="35.25" hidden="1" customHeight="1" x14ac:dyDescent="0.25">
      <c r="A285" s="210"/>
      <c r="B285" s="232"/>
      <c r="C285" s="232"/>
      <c r="D285" s="232"/>
      <c r="E285" s="232"/>
      <c r="F285" s="282"/>
      <c r="G285" s="232"/>
      <c r="H285" s="232"/>
      <c r="I285" s="232"/>
      <c r="J285" s="234"/>
      <c r="K285" s="234"/>
      <c r="L285" s="234"/>
      <c r="M285" s="232"/>
      <c r="N285" s="232"/>
      <c r="O285" s="233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  <c r="AA285" s="232"/>
      <c r="AB285" s="234"/>
      <c r="AC285" s="234"/>
      <c r="AD285" s="234"/>
      <c r="AE285" s="232"/>
      <c r="AF285" s="232"/>
      <c r="AG285" s="294"/>
      <c r="AH285" s="294"/>
      <c r="AI285" s="232"/>
      <c r="AJ285" s="232"/>
      <c r="AK285" s="232"/>
      <c r="AL285" s="232"/>
      <c r="AM285" s="232"/>
      <c r="AN285" s="232"/>
      <c r="AO285" s="232"/>
      <c r="AP285" s="234"/>
      <c r="AQ285" s="232"/>
      <c r="AR285" s="232"/>
      <c r="AS285" s="232"/>
      <c r="AT285" s="232"/>
      <c r="AU285" s="232"/>
      <c r="AV285" s="232"/>
      <c r="AW285" s="232"/>
      <c r="AX285" s="233"/>
      <c r="AY285" s="233"/>
      <c r="AZ285" s="232"/>
      <c r="BA285" s="232"/>
      <c r="BB285" s="232"/>
      <c r="BC285" s="232"/>
      <c r="BD285" s="232"/>
      <c r="BE285" s="232"/>
      <c r="BF285" s="232"/>
      <c r="BG285" s="232"/>
      <c r="BH285" s="232"/>
      <c r="BI285" s="232"/>
      <c r="BJ285" s="232"/>
      <c r="BK285" s="232"/>
      <c r="BL285" s="232"/>
      <c r="BM285" s="232"/>
      <c r="BN285" s="232"/>
      <c r="BO285" s="232"/>
      <c r="BP285" s="232"/>
      <c r="BQ285" s="232"/>
      <c r="BR285" s="232"/>
      <c r="BS285" s="232"/>
      <c r="BT285" s="232"/>
      <c r="BU285" s="232"/>
      <c r="BV285" s="232"/>
      <c r="BW285" s="232"/>
      <c r="BX285" s="232"/>
      <c r="BY285" s="232"/>
    </row>
    <row r="286" spans="1:77" ht="35.25" hidden="1" customHeight="1" x14ac:dyDescent="0.25">
      <c r="A286" s="210"/>
      <c r="B286" s="232"/>
      <c r="C286" s="232"/>
      <c r="D286" s="232"/>
      <c r="E286" s="232"/>
      <c r="F286" s="219"/>
      <c r="G286" s="232"/>
      <c r="H286" s="232"/>
      <c r="I286" s="232"/>
      <c r="J286" s="234"/>
      <c r="K286" s="234"/>
      <c r="L286" s="234"/>
      <c r="M286" s="232"/>
      <c r="N286" s="232"/>
      <c r="O286" s="233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  <c r="AA286" s="232"/>
      <c r="AB286" s="234"/>
      <c r="AC286" s="234"/>
      <c r="AD286" s="234"/>
      <c r="AE286" s="232"/>
      <c r="AF286" s="232"/>
      <c r="AG286" s="294"/>
      <c r="AH286" s="294"/>
      <c r="AI286" s="232"/>
      <c r="AJ286" s="232"/>
      <c r="AK286" s="232"/>
      <c r="AL286" s="232"/>
      <c r="AM286" s="232"/>
      <c r="AN286" s="232"/>
      <c r="AO286" s="232"/>
      <c r="AP286" s="234"/>
      <c r="AQ286" s="232"/>
      <c r="AR286" s="232"/>
      <c r="AS286" s="232"/>
      <c r="AT286" s="232"/>
      <c r="AU286" s="232"/>
      <c r="AV286" s="232"/>
      <c r="AW286" s="232"/>
      <c r="AX286" s="233"/>
      <c r="AY286" s="233"/>
      <c r="AZ286" s="232"/>
      <c r="BA286" s="232"/>
      <c r="BB286" s="232"/>
      <c r="BC286" s="232"/>
      <c r="BD286" s="232"/>
      <c r="BE286" s="232"/>
      <c r="BF286" s="232"/>
      <c r="BG286" s="232"/>
      <c r="BH286" s="232"/>
      <c r="BI286" s="232"/>
      <c r="BJ286" s="232"/>
      <c r="BK286" s="232"/>
      <c r="BL286" s="232"/>
      <c r="BM286" s="232"/>
      <c r="BN286" s="232"/>
      <c r="BO286" s="232"/>
      <c r="BP286" s="232"/>
      <c r="BQ286" s="232"/>
      <c r="BR286" s="232"/>
      <c r="BS286" s="232"/>
      <c r="BT286" s="232"/>
      <c r="BU286" s="232"/>
      <c r="BV286" s="232"/>
      <c r="BW286" s="232"/>
      <c r="BX286" s="232"/>
      <c r="BY286" s="232"/>
    </row>
    <row r="287" spans="1:77" ht="35.25" hidden="1" customHeight="1" x14ac:dyDescent="0.25">
      <c r="A287" s="210"/>
      <c r="B287" s="232"/>
      <c r="C287" s="232"/>
      <c r="D287" s="232"/>
      <c r="E287" s="232"/>
      <c r="F287" s="282"/>
      <c r="G287" s="232"/>
      <c r="H287" s="232"/>
      <c r="I287" s="232"/>
      <c r="J287" s="234"/>
      <c r="K287" s="234"/>
      <c r="L287" s="234"/>
      <c r="M287" s="232"/>
      <c r="N287" s="232"/>
      <c r="O287" s="233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  <c r="AA287" s="232"/>
      <c r="AB287" s="234"/>
      <c r="AC287" s="234"/>
      <c r="AD287" s="234"/>
      <c r="AE287" s="232"/>
      <c r="AF287" s="232"/>
      <c r="AG287" s="294"/>
      <c r="AH287" s="294"/>
      <c r="AI287" s="232"/>
      <c r="AJ287" s="232"/>
      <c r="AK287" s="232"/>
      <c r="AL287" s="232"/>
      <c r="AM287" s="232"/>
      <c r="AN287" s="232"/>
      <c r="AO287" s="232"/>
      <c r="AP287" s="234"/>
      <c r="AQ287" s="232"/>
      <c r="AR287" s="232"/>
      <c r="AS287" s="232"/>
      <c r="AT287" s="232"/>
      <c r="AU287" s="232"/>
      <c r="AV287" s="232"/>
      <c r="AW287" s="232"/>
      <c r="AX287" s="233"/>
      <c r="AY287" s="233"/>
      <c r="AZ287" s="232"/>
      <c r="BA287" s="232"/>
      <c r="BB287" s="232"/>
      <c r="BC287" s="232"/>
      <c r="BD287" s="232"/>
      <c r="BE287" s="232"/>
      <c r="BF287" s="232"/>
      <c r="BG287" s="232"/>
      <c r="BH287" s="232"/>
      <c r="BI287" s="232"/>
      <c r="BJ287" s="232"/>
      <c r="BK287" s="232"/>
      <c r="BL287" s="232"/>
      <c r="BM287" s="232"/>
      <c r="BN287" s="232"/>
      <c r="BO287" s="232"/>
      <c r="BP287" s="232"/>
      <c r="BQ287" s="232"/>
      <c r="BR287" s="232"/>
      <c r="BS287" s="232"/>
      <c r="BT287" s="232"/>
      <c r="BU287" s="232"/>
      <c r="BV287" s="232"/>
      <c r="BW287" s="232"/>
      <c r="BX287" s="232"/>
      <c r="BY287" s="232"/>
    </row>
    <row r="288" spans="1:77" ht="35.25" hidden="1" customHeight="1" x14ac:dyDescent="0.25">
      <c r="A288" s="210"/>
      <c r="B288" s="232"/>
      <c r="C288" s="232"/>
      <c r="D288" s="232"/>
      <c r="E288" s="232"/>
      <c r="F288" s="282"/>
      <c r="G288" s="232"/>
      <c r="H288" s="232"/>
      <c r="I288" s="232"/>
      <c r="J288" s="234"/>
      <c r="K288" s="234"/>
      <c r="L288" s="234"/>
      <c r="M288" s="232"/>
      <c r="N288" s="232"/>
      <c r="O288" s="233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  <c r="AA288" s="232"/>
      <c r="AB288" s="234"/>
      <c r="AC288" s="234"/>
      <c r="AD288" s="234"/>
      <c r="AE288" s="232"/>
      <c r="AF288" s="232"/>
      <c r="AG288" s="294"/>
      <c r="AH288" s="294"/>
      <c r="AI288" s="232"/>
      <c r="AJ288" s="232"/>
      <c r="AK288" s="232"/>
      <c r="AL288" s="232"/>
      <c r="AM288" s="232"/>
      <c r="AN288" s="232"/>
      <c r="AO288" s="232"/>
      <c r="AP288" s="234"/>
      <c r="AQ288" s="232"/>
      <c r="AR288" s="232"/>
      <c r="AS288" s="232"/>
      <c r="AT288" s="232"/>
      <c r="AU288" s="232"/>
      <c r="AV288" s="232"/>
      <c r="AW288" s="232"/>
      <c r="AX288" s="233"/>
      <c r="AY288" s="233"/>
      <c r="AZ288" s="232"/>
      <c r="BA288" s="232"/>
      <c r="BB288" s="232"/>
      <c r="BC288" s="232"/>
      <c r="BD288" s="232"/>
      <c r="BE288" s="232"/>
      <c r="BF288" s="232"/>
      <c r="BG288" s="232"/>
      <c r="BH288" s="232"/>
      <c r="BI288" s="232"/>
      <c r="BJ288" s="232"/>
      <c r="BK288" s="232"/>
      <c r="BL288" s="232"/>
      <c r="BM288" s="232"/>
      <c r="BN288" s="232"/>
      <c r="BO288" s="232"/>
      <c r="BP288" s="232"/>
      <c r="BQ288" s="232"/>
      <c r="BR288" s="232"/>
      <c r="BS288" s="232"/>
      <c r="BT288" s="232"/>
      <c r="BU288" s="232"/>
      <c r="BV288" s="232"/>
      <c r="BW288" s="232"/>
      <c r="BX288" s="232"/>
      <c r="BY288" s="232"/>
    </row>
    <row r="289" spans="1:77" ht="35.25" hidden="1" customHeight="1" x14ac:dyDescent="0.25">
      <c r="A289" s="210"/>
      <c r="B289" s="232"/>
      <c r="C289" s="232"/>
      <c r="D289" s="232"/>
      <c r="E289" s="232"/>
      <c r="F289" s="282"/>
      <c r="G289" s="232"/>
      <c r="H289" s="232"/>
      <c r="I289" s="232"/>
      <c r="J289" s="234"/>
      <c r="K289" s="234"/>
      <c r="L289" s="234"/>
      <c r="M289" s="232"/>
      <c r="N289" s="232"/>
      <c r="O289" s="233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  <c r="AA289" s="232"/>
      <c r="AB289" s="234"/>
      <c r="AC289" s="234"/>
      <c r="AD289" s="234"/>
      <c r="AE289" s="232"/>
      <c r="AF289" s="232"/>
      <c r="AG289" s="294"/>
      <c r="AH289" s="294"/>
      <c r="AI289" s="232"/>
      <c r="AJ289" s="232"/>
      <c r="AK289" s="232"/>
      <c r="AL289" s="232"/>
      <c r="AM289" s="232"/>
      <c r="AN289" s="232"/>
      <c r="AO289" s="232"/>
      <c r="AP289" s="234"/>
      <c r="AQ289" s="232"/>
      <c r="AR289" s="232"/>
      <c r="AS289" s="232"/>
      <c r="AT289" s="232"/>
      <c r="AU289" s="232"/>
      <c r="AV289" s="232"/>
      <c r="AW289" s="232"/>
      <c r="AX289" s="233"/>
      <c r="AY289" s="233"/>
      <c r="AZ289" s="232"/>
      <c r="BA289" s="232"/>
      <c r="BB289" s="232"/>
      <c r="BC289" s="232"/>
      <c r="BD289" s="232"/>
      <c r="BE289" s="232"/>
      <c r="BF289" s="232"/>
      <c r="BG289" s="232"/>
      <c r="BH289" s="232"/>
      <c r="BI289" s="232"/>
      <c r="BJ289" s="232"/>
      <c r="BK289" s="232"/>
      <c r="BL289" s="232"/>
      <c r="BM289" s="232"/>
      <c r="BN289" s="232"/>
      <c r="BO289" s="232"/>
      <c r="BP289" s="232"/>
      <c r="BQ289" s="232"/>
      <c r="BR289" s="232"/>
      <c r="BS289" s="232"/>
      <c r="BT289" s="232"/>
      <c r="BU289" s="232"/>
      <c r="BV289" s="232"/>
      <c r="BW289" s="232"/>
      <c r="BX289" s="232"/>
      <c r="BY289" s="232"/>
    </row>
    <row r="290" spans="1:77" ht="35.25" hidden="1" customHeight="1" x14ac:dyDescent="0.25">
      <c r="A290" s="210"/>
      <c r="B290" s="232"/>
      <c r="C290" s="232"/>
      <c r="D290" s="232"/>
      <c r="E290" s="232"/>
      <c r="F290" s="219"/>
      <c r="G290" s="232"/>
      <c r="H290" s="232"/>
      <c r="I290" s="232"/>
      <c r="J290" s="234"/>
      <c r="K290" s="234"/>
      <c r="L290" s="234"/>
      <c r="M290" s="232"/>
      <c r="N290" s="232"/>
      <c r="O290" s="233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  <c r="AA290" s="232"/>
      <c r="AB290" s="234"/>
      <c r="AC290" s="234"/>
      <c r="AD290" s="234"/>
      <c r="AE290" s="232"/>
      <c r="AF290" s="232"/>
      <c r="AG290" s="294"/>
      <c r="AH290" s="294"/>
      <c r="AI290" s="232"/>
      <c r="AJ290" s="232"/>
      <c r="AK290" s="232"/>
      <c r="AL290" s="232"/>
      <c r="AM290" s="232"/>
      <c r="AN290" s="232"/>
      <c r="AO290" s="232"/>
      <c r="AP290" s="234"/>
      <c r="AQ290" s="232"/>
      <c r="AR290" s="232"/>
      <c r="AS290" s="232"/>
      <c r="AT290" s="232"/>
      <c r="AU290" s="232"/>
      <c r="AV290" s="232"/>
      <c r="AW290" s="232"/>
      <c r="AX290" s="233"/>
      <c r="AY290" s="233"/>
      <c r="AZ290" s="232"/>
      <c r="BA290" s="232"/>
      <c r="BB290" s="232"/>
      <c r="BC290" s="232"/>
      <c r="BD290" s="232"/>
      <c r="BE290" s="232"/>
      <c r="BF290" s="232"/>
      <c r="BG290" s="232"/>
      <c r="BH290" s="232"/>
      <c r="BI290" s="232"/>
      <c r="BJ290" s="232"/>
      <c r="BK290" s="232"/>
      <c r="BL290" s="232"/>
      <c r="BM290" s="232"/>
      <c r="BN290" s="232"/>
      <c r="BO290" s="232"/>
      <c r="BP290" s="232"/>
      <c r="BQ290" s="232"/>
      <c r="BR290" s="232"/>
      <c r="BS290" s="232"/>
      <c r="BT290" s="232"/>
      <c r="BU290" s="232"/>
      <c r="BV290" s="232"/>
      <c r="BW290" s="232"/>
      <c r="BX290" s="232"/>
      <c r="BY290" s="232"/>
    </row>
    <row r="291" spans="1:77" ht="35.25" hidden="1" customHeight="1" x14ac:dyDescent="0.25">
      <c r="A291" s="210"/>
      <c r="B291" s="232"/>
      <c r="C291" s="232"/>
      <c r="D291" s="232"/>
      <c r="E291" s="232"/>
      <c r="F291" s="219"/>
      <c r="G291" s="232"/>
      <c r="H291" s="232"/>
      <c r="I291" s="232"/>
      <c r="J291" s="234"/>
      <c r="K291" s="234"/>
      <c r="L291" s="234"/>
      <c r="M291" s="232"/>
      <c r="N291" s="232"/>
      <c r="O291" s="233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  <c r="AA291" s="232"/>
      <c r="AB291" s="234"/>
      <c r="AC291" s="234"/>
      <c r="AD291" s="234"/>
      <c r="AE291" s="232"/>
      <c r="AF291" s="232"/>
      <c r="AG291" s="294"/>
      <c r="AH291" s="294"/>
      <c r="AI291" s="232"/>
      <c r="AJ291" s="232"/>
      <c r="AK291" s="232"/>
      <c r="AL291" s="232"/>
      <c r="AM291" s="232"/>
      <c r="AN291" s="232"/>
      <c r="AO291" s="232"/>
      <c r="AP291" s="234"/>
      <c r="AQ291" s="232"/>
      <c r="AR291" s="232"/>
      <c r="AS291" s="232"/>
      <c r="AT291" s="232"/>
      <c r="AU291" s="232"/>
      <c r="AV291" s="232"/>
      <c r="AW291" s="232"/>
      <c r="AX291" s="233"/>
      <c r="AY291" s="233"/>
      <c r="AZ291" s="232"/>
      <c r="BA291" s="232"/>
      <c r="BB291" s="232"/>
      <c r="BC291" s="232"/>
      <c r="BD291" s="232"/>
      <c r="BE291" s="232"/>
      <c r="BF291" s="232"/>
      <c r="BG291" s="232"/>
      <c r="BH291" s="232"/>
      <c r="BI291" s="232"/>
      <c r="BJ291" s="232"/>
      <c r="BK291" s="232"/>
      <c r="BL291" s="232"/>
      <c r="BM291" s="232"/>
      <c r="BN291" s="232"/>
      <c r="BO291" s="232"/>
      <c r="BP291" s="232"/>
      <c r="BQ291" s="232"/>
      <c r="BR291" s="232"/>
      <c r="BS291" s="232"/>
      <c r="BT291" s="232"/>
      <c r="BU291" s="232"/>
      <c r="BV291" s="232"/>
      <c r="BW291" s="232"/>
      <c r="BX291" s="232"/>
      <c r="BY291" s="232"/>
    </row>
    <row r="292" spans="1:77" ht="35.25" customHeight="1" x14ac:dyDescent="0.25">
      <c r="A292" s="210"/>
      <c r="B292" s="232"/>
      <c r="C292" s="232"/>
      <c r="D292" s="232"/>
      <c r="E292" s="232"/>
      <c r="F292" s="282"/>
      <c r="G292" s="232"/>
      <c r="H292" s="232"/>
      <c r="I292" s="232"/>
      <c r="J292" s="234"/>
      <c r="K292" s="234"/>
      <c r="L292" s="234"/>
      <c r="M292" s="232"/>
      <c r="N292" s="232"/>
      <c r="O292" s="233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  <c r="AA292" s="232"/>
      <c r="AB292" s="234"/>
      <c r="AC292" s="234"/>
      <c r="AD292" s="234"/>
      <c r="AE292" s="232"/>
      <c r="AF292" s="232"/>
      <c r="AG292" s="294"/>
      <c r="AH292" s="294"/>
      <c r="AI292" s="232"/>
      <c r="AJ292" s="232"/>
      <c r="AK292" s="232"/>
      <c r="AL292" s="232"/>
      <c r="AM292" s="232"/>
      <c r="AN292" s="232"/>
      <c r="AO292" s="232"/>
      <c r="AP292" s="234"/>
      <c r="AQ292" s="232"/>
      <c r="AR292" s="232"/>
      <c r="AS292" s="232"/>
      <c r="AT292" s="232"/>
      <c r="AU292" s="233"/>
      <c r="AV292" s="232"/>
      <c r="AW292" s="232"/>
      <c r="AX292" s="233"/>
      <c r="AY292" s="233"/>
      <c r="AZ292" s="232"/>
      <c r="BA292" s="232"/>
      <c r="BB292" s="232"/>
      <c r="BC292" s="232"/>
      <c r="BD292" s="232"/>
      <c r="BE292" s="232"/>
      <c r="BF292" s="232"/>
      <c r="BG292" s="232"/>
      <c r="BH292" s="232"/>
      <c r="BI292" s="232"/>
      <c r="BJ292" s="232"/>
      <c r="BK292" s="233"/>
      <c r="BL292" s="232"/>
      <c r="BM292" s="232"/>
      <c r="BN292" s="232"/>
      <c r="BO292" s="232"/>
      <c r="BP292" s="232"/>
      <c r="BQ292" s="232"/>
      <c r="BR292" s="232"/>
      <c r="BS292" s="232"/>
      <c r="BT292" s="232"/>
      <c r="BU292" s="232"/>
      <c r="BV292" s="232"/>
      <c r="BW292" s="232"/>
      <c r="BX292" s="232"/>
      <c r="BY292" s="232"/>
    </row>
    <row r="293" spans="1:77" ht="35.25" customHeight="1" x14ac:dyDescent="0.25">
      <c r="A293" s="210"/>
      <c r="B293" s="232"/>
      <c r="C293" s="232"/>
      <c r="D293" s="232"/>
      <c r="E293" s="232"/>
      <c r="F293" s="282"/>
      <c r="G293" s="232"/>
      <c r="H293" s="232"/>
      <c r="I293" s="232"/>
      <c r="J293" s="234"/>
      <c r="K293" s="234"/>
      <c r="L293" s="234"/>
      <c r="M293" s="232"/>
      <c r="N293" s="232"/>
      <c r="O293" s="233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  <c r="AA293" s="232"/>
      <c r="AB293" s="234"/>
      <c r="AC293" s="234"/>
      <c r="AD293" s="234"/>
      <c r="AE293" s="232"/>
      <c r="AF293" s="232"/>
      <c r="AG293" s="294"/>
      <c r="AH293" s="294"/>
      <c r="AI293" s="232"/>
      <c r="AJ293" s="232"/>
      <c r="AK293" s="232"/>
      <c r="AL293" s="232"/>
      <c r="AM293" s="232"/>
      <c r="AN293" s="232"/>
      <c r="AO293" s="232"/>
      <c r="AP293" s="234"/>
      <c r="AQ293" s="232"/>
      <c r="AR293" s="232"/>
      <c r="AS293" s="232"/>
      <c r="AT293" s="232"/>
      <c r="AU293" s="233"/>
      <c r="AV293" s="232"/>
      <c r="AW293" s="232"/>
      <c r="AX293" s="233"/>
      <c r="AY293" s="233"/>
      <c r="AZ293" s="232"/>
      <c r="BA293" s="232"/>
      <c r="BB293" s="232"/>
      <c r="BC293" s="232"/>
      <c r="BD293" s="232"/>
      <c r="BE293" s="232"/>
      <c r="BF293" s="232"/>
      <c r="BG293" s="232"/>
      <c r="BH293" s="232"/>
      <c r="BI293" s="232"/>
      <c r="BJ293" s="232"/>
      <c r="BK293" s="233"/>
      <c r="BL293" s="232"/>
      <c r="BM293" s="232"/>
      <c r="BN293" s="232"/>
      <c r="BO293" s="232"/>
      <c r="BP293" s="232"/>
      <c r="BQ293" s="232"/>
      <c r="BR293" s="232"/>
      <c r="BS293" s="232"/>
      <c r="BT293" s="232"/>
      <c r="BU293" s="232"/>
      <c r="BV293" s="232"/>
      <c r="BW293" s="232"/>
      <c r="BX293" s="232"/>
      <c r="BY293" s="232"/>
    </row>
    <row r="294" spans="1:77" ht="35.25" customHeight="1" x14ac:dyDescent="0.25">
      <c r="A294" s="210"/>
      <c r="B294" s="232"/>
      <c r="C294" s="232"/>
      <c r="D294" s="232"/>
      <c r="E294" s="232"/>
      <c r="F294" s="219"/>
      <c r="G294" s="232"/>
      <c r="H294" s="232"/>
      <c r="I294" s="232"/>
      <c r="J294" s="234"/>
      <c r="K294" s="234"/>
      <c r="L294" s="234"/>
      <c r="M294" s="232"/>
      <c r="N294" s="232"/>
      <c r="O294" s="233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  <c r="AA294" s="232"/>
      <c r="AB294" s="234"/>
      <c r="AC294" s="234"/>
      <c r="AD294" s="234"/>
      <c r="AE294" s="232"/>
      <c r="AF294" s="232"/>
      <c r="AG294" s="294"/>
      <c r="AH294" s="294"/>
      <c r="AI294" s="232"/>
      <c r="AJ294" s="232"/>
      <c r="AK294" s="232"/>
      <c r="AL294" s="232"/>
      <c r="AM294" s="232"/>
      <c r="AN294" s="232"/>
      <c r="AO294" s="232"/>
      <c r="AP294" s="234"/>
      <c r="AQ294" s="232"/>
      <c r="AR294" s="232"/>
      <c r="AS294" s="232"/>
      <c r="AT294" s="232"/>
      <c r="AU294" s="233"/>
      <c r="AV294" s="232"/>
      <c r="AW294" s="232"/>
      <c r="AX294" s="233"/>
      <c r="AY294" s="233"/>
      <c r="AZ294" s="232"/>
      <c r="BA294" s="232"/>
      <c r="BB294" s="232"/>
      <c r="BC294" s="232"/>
      <c r="BD294" s="232"/>
      <c r="BE294" s="232"/>
      <c r="BF294" s="232"/>
      <c r="BG294" s="232"/>
      <c r="BH294" s="232"/>
      <c r="BI294" s="232"/>
      <c r="BJ294" s="232"/>
      <c r="BK294" s="233"/>
      <c r="BL294" s="232"/>
      <c r="BM294" s="232"/>
      <c r="BN294" s="232"/>
      <c r="BO294" s="232"/>
      <c r="BP294" s="232"/>
      <c r="BQ294" s="232"/>
      <c r="BR294" s="232"/>
      <c r="BS294" s="232"/>
      <c r="BT294" s="232"/>
      <c r="BU294" s="232"/>
      <c r="BV294" s="232"/>
      <c r="BW294" s="232"/>
      <c r="BX294" s="232"/>
      <c r="BY294" s="232"/>
    </row>
    <row r="295" spans="1:77" ht="35.25" customHeight="1" x14ac:dyDescent="0.25">
      <c r="A295" s="210"/>
      <c r="B295" s="232"/>
      <c r="C295" s="232"/>
      <c r="D295" s="232"/>
      <c r="E295" s="232"/>
      <c r="F295" s="282"/>
      <c r="G295" s="232"/>
      <c r="H295" s="232"/>
      <c r="I295" s="232"/>
      <c r="J295" s="234"/>
      <c r="K295" s="234"/>
      <c r="L295" s="234"/>
      <c r="M295" s="232"/>
      <c r="N295" s="232"/>
      <c r="O295" s="233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  <c r="AA295" s="232"/>
      <c r="AB295" s="234"/>
      <c r="AC295" s="234"/>
      <c r="AD295" s="234"/>
      <c r="AE295" s="232"/>
      <c r="AF295" s="232"/>
      <c r="AG295" s="294"/>
      <c r="AH295" s="294"/>
      <c r="AI295" s="232"/>
      <c r="AJ295" s="232"/>
      <c r="AK295" s="232"/>
      <c r="AL295" s="232"/>
      <c r="AM295" s="232"/>
      <c r="AN295" s="232"/>
      <c r="AO295" s="232"/>
      <c r="AP295" s="234"/>
      <c r="AQ295" s="232"/>
      <c r="AR295" s="232"/>
      <c r="AS295" s="232"/>
      <c r="AT295" s="232"/>
      <c r="AU295" s="233"/>
      <c r="AV295" s="232"/>
      <c r="AW295" s="232"/>
      <c r="AX295" s="233"/>
      <c r="AY295" s="233"/>
      <c r="AZ295" s="232"/>
      <c r="BA295" s="232"/>
      <c r="BB295" s="232"/>
      <c r="BC295" s="232"/>
      <c r="BD295" s="232"/>
      <c r="BE295" s="232"/>
      <c r="BF295" s="232"/>
      <c r="BG295" s="232"/>
      <c r="BH295" s="232"/>
      <c r="BI295" s="232"/>
      <c r="BJ295" s="232"/>
      <c r="BK295" s="233"/>
      <c r="BL295" s="232"/>
      <c r="BM295" s="232"/>
      <c r="BN295" s="232"/>
      <c r="BO295" s="232"/>
      <c r="BP295" s="232"/>
      <c r="BQ295" s="232"/>
      <c r="BR295" s="232"/>
      <c r="BS295" s="232"/>
      <c r="BT295" s="232"/>
      <c r="BU295" s="232"/>
      <c r="BV295" s="232"/>
      <c r="BW295" s="232"/>
      <c r="BX295" s="232"/>
      <c r="BY295" s="232"/>
    </row>
    <row r="296" spans="1:77" ht="35.25" customHeight="1" x14ac:dyDescent="0.25">
      <c r="A296" s="210"/>
      <c r="B296" s="232"/>
      <c r="C296" s="232"/>
      <c r="D296" s="232"/>
      <c r="E296" s="232"/>
      <c r="F296" s="219"/>
      <c r="G296" s="232"/>
      <c r="H296" s="232"/>
      <c r="I296" s="232"/>
      <c r="J296" s="234"/>
      <c r="K296" s="234"/>
      <c r="L296" s="234"/>
      <c r="M296" s="232"/>
      <c r="N296" s="232"/>
      <c r="O296" s="233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  <c r="AA296" s="232"/>
      <c r="AB296" s="234"/>
      <c r="AC296" s="234"/>
      <c r="AD296" s="234"/>
      <c r="AE296" s="232"/>
      <c r="AF296" s="232"/>
      <c r="AG296" s="294"/>
      <c r="AH296" s="294"/>
      <c r="AI296" s="232"/>
      <c r="AJ296" s="232"/>
      <c r="AK296" s="232"/>
      <c r="AL296" s="232"/>
      <c r="AM296" s="232"/>
      <c r="AN296" s="232"/>
      <c r="AO296" s="232"/>
      <c r="AP296" s="234"/>
      <c r="AQ296" s="232"/>
      <c r="AR296" s="232"/>
      <c r="AS296" s="232"/>
      <c r="AT296" s="232"/>
      <c r="AU296" s="233"/>
      <c r="AV296" s="232"/>
      <c r="AW296" s="232"/>
      <c r="AX296" s="233"/>
      <c r="AY296" s="233"/>
      <c r="AZ296" s="232"/>
      <c r="BA296" s="232"/>
      <c r="BB296" s="232"/>
      <c r="BC296" s="232"/>
      <c r="BD296" s="232"/>
      <c r="BE296" s="232"/>
      <c r="BF296" s="232"/>
      <c r="BG296" s="232"/>
      <c r="BH296" s="232"/>
      <c r="BI296" s="232"/>
      <c r="BJ296" s="232"/>
      <c r="BK296" s="233"/>
      <c r="BL296" s="232"/>
      <c r="BM296" s="232"/>
      <c r="BN296" s="232"/>
      <c r="BO296" s="232"/>
      <c r="BP296" s="232"/>
      <c r="BQ296" s="232"/>
      <c r="BR296" s="232"/>
      <c r="BS296" s="232"/>
      <c r="BT296" s="232"/>
      <c r="BU296" s="232"/>
      <c r="BV296" s="232"/>
      <c r="BW296" s="232"/>
      <c r="BX296" s="232"/>
      <c r="BY296" s="232"/>
    </row>
    <row r="297" spans="1:77" ht="35.25" customHeight="1" x14ac:dyDescent="0.25">
      <c r="A297" s="210"/>
      <c r="B297" s="232"/>
      <c r="C297" s="232"/>
      <c r="D297" s="232"/>
      <c r="E297" s="232"/>
      <c r="F297" s="282"/>
      <c r="G297" s="232"/>
      <c r="H297" s="232"/>
      <c r="I297" s="232"/>
      <c r="J297" s="234"/>
      <c r="K297" s="234"/>
      <c r="L297" s="234"/>
      <c r="M297" s="232"/>
      <c r="N297" s="232"/>
      <c r="O297" s="233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  <c r="AA297" s="232"/>
      <c r="AB297" s="234"/>
      <c r="AC297" s="234"/>
      <c r="AD297" s="234"/>
      <c r="AE297" s="232"/>
      <c r="AF297" s="232"/>
      <c r="AG297" s="294"/>
      <c r="AH297" s="294"/>
      <c r="AI297" s="232"/>
      <c r="AJ297" s="232"/>
      <c r="AK297" s="232"/>
      <c r="AL297" s="232"/>
      <c r="AM297" s="232"/>
      <c r="AN297" s="232"/>
      <c r="AO297" s="232"/>
      <c r="AP297" s="234"/>
      <c r="AQ297" s="232"/>
      <c r="AR297" s="232"/>
      <c r="AS297" s="232"/>
      <c r="AT297" s="232"/>
      <c r="AU297" s="233"/>
      <c r="AV297" s="232"/>
      <c r="AW297" s="232"/>
      <c r="AX297" s="233"/>
      <c r="AY297" s="295" t="s">
        <v>1398</v>
      </c>
      <c r="AZ297" s="232"/>
      <c r="BA297" s="232"/>
      <c r="BB297" s="232"/>
      <c r="BC297" s="232"/>
      <c r="BD297" s="232"/>
      <c r="BE297" s="232"/>
      <c r="BF297" s="232"/>
      <c r="BG297" s="232"/>
      <c r="BH297" s="232"/>
      <c r="BI297" s="232"/>
      <c r="BJ297" s="232"/>
      <c r="BK297" s="233"/>
      <c r="BL297" s="232"/>
      <c r="BM297" s="232"/>
      <c r="BN297" s="232"/>
      <c r="BO297" s="232"/>
      <c r="BP297" s="232"/>
      <c r="BQ297" s="232"/>
      <c r="BR297" s="232"/>
      <c r="BS297" s="232"/>
      <c r="BT297" s="232"/>
      <c r="BU297" s="232"/>
      <c r="BV297" s="232"/>
      <c r="BW297" s="232"/>
      <c r="BX297" s="232"/>
      <c r="BY297" s="232"/>
    </row>
    <row r="298" spans="1:77" ht="35.25" customHeight="1" x14ac:dyDescent="0.25">
      <c r="A298" s="210"/>
      <c r="B298" s="232"/>
      <c r="C298" s="232"/>
      <c r="D298" s="232"/>
      <c r="E298" s="232"/>
      <c r="F298" s="234"/>
      <c r="G298" s="232"/>
      <c r="H298" s="232"/>
      <c r="I298" s="232"/>
      <c r="J298" s="234"/>
      <c r="K298" s="234"/>
      <c r="L298" s="234"/>
      <c r="M298" s="232"/>
      <c r="N298" s="232"/>
      <c r="O298" s="233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  <c r="AA298" s="232"/>
      <c r="AB298" s="234"/>
      <c r="AC298" s="234"/>
      <c r="AD298" s="234"/>
      <c r="AE298" s="232"/>
      <c r="AF298" s="232"/>
      <c r="AG298" s="294"/>
      <c r="AH298" s="294"/>
      <c r="AI298" s="232"/>
      <c r="AJ298" s="232"/>
      <c r="AK298" s="232"/>
      <c r="AL298" s="232"/>
      <c r="AM298" s="232"/>
      <c r="AN298" s="232"/>
      <c r="AO298" s="232"/>
      <c r="AP298" s="234"/>
      <c r="AQ298" s="232"/>
      <c r="AR298" s="232"/>
      <c r="AS298" s="232"/>
      <c r="AT298" s="232"/>
      <c r="AU298" s="233"/>
      <c r="AV298" s="232"/>
      <c r="AW298" s="232"/>
      <c r="AX298" s="233"/>
      <c r="AY298" s="233"/>
      <c r="AZ298" s="232"/>
      <c r="BA298" s="232"/>
      <c r="BB298" s="232"/>
      <c r="BC298" s="232"/>
      <c r="BD298" s="232"/>
      <c r="BE298" s="232"/>
      <c r="BF298" s="232"/>
      <c r="BG298" s="232"/>
      <c r="BH298" s="232"/>
      <c r="BI298" s="232"/>
      <c r="BJ298" s="232"/>
      <c r="BK298" s="233"/>
      <c r="BL298" s="232"/>
      <c r="BM298" s="232"/>
      <c r="BN298" s="232"/>
      <c r="BO298" s="232"/>
      <c r="BP298" s="232"/>
      <c r="BQ298" s="232"/>
      <c r="BR298" s="232"/>
      <c r="BS298" s="232"/>
      <c r="BT298" s="232"/>
      <c r="BU298" s="232"/>
      <c r="BV298" s="232"/>
      <c r="BW298" s="232"/>
      <c r="BX298" s="232"/>
      <c r="BY298" s="232"/>
    </row>
    <row r="299" spans="1:77" ht="35.25" customHeight="1" x14ac:dyDescent="0.25">
      <c r="A299" s="210"/>
      <c r="B299" s="232"/>
      <c r="C299" s="232"/>
      <c r="D299" s="232"/>
      <c r="E299" s="232"/>
      <c r="F299" s="234"/>
      <c r="G299" s="232"/>
      <c r="H299" s="232"/>
      <c r="I299" s="232"/>
      <c r="J299" s="234"/>
      <c r="K299" s="234"/>
      <c r="L299" s="234"/>
      <c r="M299" s="232"/>
      <c r="N299" s="232"/>
      <c r="O299" s="233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  <c r="AA299" s="232"/>
      <c r="AB299" s="234"/>
      <c r="AC299" s="234"/>
      <c r="AD299" s="234"/>
      <c r="AE299" s="232"/>
      <c r="AF299" s="232"/>
      <c r="AG299" s="294"/>
      <c r="AH299" s="294"/>
      <c r="AI299" s="232"/>
      <c r="AJ299" s="232"/>
      <c r="AK299" s="232"/>
      <c r="AL299" s="232"/>
      <c r="AM299" s="232"/>
      <c r="AN299" s="232"/>
      <c r="AO299" s="232"/>
      <c r="AP299" s="234"/>
      <c r="AQ299" s="232"/>
      <c r="AR299" s="232"/>
      <c r="AS299" s="232"/>
      <c r="AT299" s="232"/>
      <c r="AU299" s="233"/>
      <c r="AV299" s="232"/>
      <c r="AW299" s="232"/>
      <c r="AX299" s="233"/>
      <c r="AY299" s="233"/>
      <c r="AZ299" s="232"/>
      <c r="BA299" s="232"/>
      <c r="BB299" s="232"/>
      <c r="BC299" s="232"/>
      <c r="BD299" s="232"/>
      <c r="BE299" s="232"/>
      <c r="BF299" s="232"/>
      <c r="BG299" s="232"/>
      <c r="BH299" s="232"/>
      <c r="BI299" s="232"/>
      <c r="BJ299" s="232"/>
      <c r="BK299" s="233"/>
      <c r="BL299" s="232"/>
      <c r="BM299" s="232"/>
      <c r="BN299" s="232"/>
      <c r="BO299" s="232"/>
      <c r="BP299" s="232"/>
      <c r="BQ299" s="232"/>
      <c r="BR299" s="232"/>
      <c r="BS299" s="232"/>
      <c r="BT299" s="232"/>
      <c r="BU299" s="232"/>
      <c r="BV299" s="232"/>
      <c r="BW299" s="232"/>
      <c r="BX299" s="232"/>
      <c r="BY299" s="232"/>
    </row>
    <row r="300" spans="1:77" ht="35.25" customHeight="1" x14ac:dyDescent="0.25">
      <c r="A300" s="210"/>
      <c r="B300" s="232"/>
      <c r="C300" s="232"/>
      <c r="D300" s="232"/>
      <c r="E300" s="232"/>
      <c r="F300" s="234"/>
      <c r="G300" s="232"/>
      <c r="H300" s="232"/>
      <c r="I300" s="232"/>
      <c r="J300" s="234"/>
      <c r="K300" s="234"/>
      <c r="L300" s="234"/>
      <c r="M300" s="232"/>
      <c r="N300" s="232"/>
      <c r="O300" s="233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  <c r="AA300" s="232"/>
      <c r="AB300" s="234"/>
      <c r="AC300" s="234"/>
      <c r="AD300" s="234"/>
      <c r="AE300" s="232"/>
      <c r="AF300" s="232"/>
      <c r="AG300" s="294"/>
      <c r="AH300" s="294"/>
      <c r="AI300" s="232"/>
      <c r="AJ300" s="232"/>
      <c r="AK300" s="232"/>
      <c r="AL300" s="232"/>
      <c r="AM300" s="232"/>
      <c r="AN300" s="232"/>
      <c r="AO300" s="232"/>
      <c r="AP300" s="234"/>
      <c r="AQ300" s="232"/>
      <c r="AR300" s="232"/>
      <c r="AS300" s="232"/>
      <c r="AT300" s="232"/>
      <c r="AU300" s="233"/>
      <c r="AV300" s="232"/>
      <c r="AW300" s="232"/>
      <c r="AX300" s="233"/>
      <c r="AY300" s="233"/>
      <c r="AZ300" s="232"/>
      <c r="BA300" s="232"/>
      <c r="BB300" s="232"/>
      <c r="BC300" s="232"/>
      <c r="BD300" s="232"/>
      <c r="BE300" s="232"/>
      <c r="BF300" s="232"/>
      <c r="BG300" s="232"/>
      <c r="BH300" s="232"/>
      <c r="BI300" s="232"/>
      <c r="BJ300" s="232"/>
      <c r="BK300" s="233"/>
      <c r="BL300" s="232"/>
      <c r="BM300" s="232"/>
      <c r="BN300" s="232"/>
      <c r="BO300" s="232"/>
      <c r="BP300" s="232"/>
      <c r="BQ300" s="232"/>
      <c r="BR300" s="232"/>
      <c r="BS300" s="232"/>
      <c r="BT300" s="232"/>
      <c r="BU300" s="232"/>
      <c r="BV300" s="232"/>
      <c r="BW300" s="232"/>
      <c r="BX300" s="232"/>
      <c r="BY300" s="232"/>
    </row>
    <row r="301" spans="1:77" ht="35.25" customHeight="1" x14ac:dyDescent="0.25">
      <c r="A301" s="210"/>
      <c r="B301" s="232"/>
      <c r="C301" s="232"/>
      <c r="D301" s="232"/>
      <c r="E301" s="232"/>
      <c r="F301" s="234"/>
      <c r="G301" s="232"/>
      <c r="H301" s="232"/>
      <c r="I301" s="232"/>
      <c r="J301" s="234"/>
      <c r="K301" s="234"/>
      <c r="L301" s="234"/>
      <c r="M301" s="232"/>
      <c r="N301" s="232"/>
      <c r="O301" s="233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  <c r="AA301" s="232"/>
      <c r="AB301" s="234"/>
      <c r="AC301" s="234"/>
      <c r="AD301" s="234"/>
      <c r="AE301" s="232"/>
      <c r="AF301" s="232"/>
      <c r="AG301" s="294"/>
      <c r="AH301" s="294"/>
      <c r="AI301" s="232"/>
      <c r="AJ301" s="232"/>
      <c r="AK301" s="232"/>
      <c r="AL301" s="232"/>
      <c r="AM301" s="232"/>
      <c r="AN301" s="232"/>
      <c r="AO301" s="232"/>
      <c r="AP301" s="234"/>
      <c r="AQ301" s="232"/>
      <c r="AR301" s="232"/>
      <c r="AS301" s="232"/>
      <c r="AT301" s="232"/>
      <c r="AU301" s="233"/>
      <c r="AV301" s="232"/>
      <c r="AW301" s="232"/>
      <c r="AX301" s="233"/>
      <c r="AY301" s="233"/>
      <c r="AZ301" s="232"/>
      <c r="BA301" s="232"/>
      <c r="BB301" s="232"/>
      <c r="BC301" s="232"/>
      <c r="BD301" s="232"/>
      <c r="BE301" s="232"/>
      <c r="BF301" s="232"/>
      <c r="BG301" s="232"/>
      <c r="BH301" s="232"/>
      <c r="BI301" s="232"/>
      <c r="BJ301" s="232"/>
      <c r="BK301" s="233"/>
      <c r="BL301" s="232"/>
      <c r="BM301" s="232"/>
      <c r="BN301" s="232"/>
      <c r="BO301" s="232"/>
      <c r="BP301" s="232"/>
      <c r="BQ301" s="232"/>
      <c r="BR301" s="232"/>
      <c r="BS301" s="232"/>
      <c r="BT301" s="232"/>
      <c r="BU301" s="232"/>
      <c r="BV301" s="232"/>
      <c r="BW301" s="232"/>
      <c r="BX301" s="232"/>
      <c r="BY301" s="232"/>
    </row>
    <row r="302" spans="1:77" ht="35.25" customHeight="1" x14ac:dyDescent="0.25">
      <c r="A302" s="210"/>
      <c r="B302" s="232"/>
      <c r="C302" s="232"/>
      <c r="D302" s="232"/>
      <c r="E302" s="232"/>
      <c r="F302" s="234"/>
      <c r="G302" s="232"/>
      <c r="H302" s="232"/>
      <c r="I302" s="232"/>
      <c r="J302" s="234"/>
      <c r="K302" s="234"/>
      <c r="L302" s="234"/>
      <c r="M302" s="232"/>
      <c r="N302" s="232"/>
      <c r="O302" s="233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4"/>
      <c r="AC302" s="234"/>
      <c r="AD302" s="234"/>
      <c r="AE302" s="232"/>
      <c r="AF302" s="232"/>
      <c r="AG302" s="294"/>
      <c r="AH302" s="294"/>
      <c r="AI302" s="232"/>
      <c r="AJ302" s="232"/>
      <c r="AK302" s="232"/>
      <c r="AL302" s="232"/>
      <c r="AM302" s="232"/>
      <c r="AN302" s="232"/>
      <c r="AO302" s="232"/>
      <c r="AP302" s="234"/>
      <c r="AQ302" s="232"/>
      <c r="AR302" s="232"/>
      <c r="AS302" s="232"/>
      <c r="AT302" s="232"/>
      <c r="AU302" s="233"/>
      <c r="AV302" s="232"/>
      <c r="AW302" s="232"/>
      <c r="AX302" s="233"/>
      <c r="AY302" s="233"/>
      <c r="AZ302" s="232"/>
      <c r="BA302" s="232"/>
      <c r="BB302" s="232"/>
      <c r="BC302" s="232"/>
      <c r="BD302" s="232"/>
      <c r="BE302" s="232"/>
      <c r="BF302" s="232"/>
      <c r="BG302" s="232"/>
      <c r="BH302" s="232"/>
      <c r="BI302" s="232"/>
      <c r="BJ302" s="232"/>
      <c r="BK302" s="233"/>
      <c r="BL302" s="232"/>
      <c r="BM302" s="232"/>
      <c r="BN302" s="232"/>
      <c r="BO302" s="232"/>
      <c r="BP302" s="232"/>
      <c r="BQ302" s="232"/>
      <c r="BR302" s="232"/>
      <c r="BS302" s="232"/>
      <c r="BT302" s="232"/>
      <c r="BU302" s="232"/>
      <c r="BV302" s="232"/>
      <c r="BW302" s="232"/>
      <c r="BX302" s="232"/>
      <c r="BY302" s="232"/>
    </row>
    <row r="303" spans="1:77" ht="35.25" customHeight="1" x14ac:dyDescent="0.25">
      <c r="A303" s="210"/>
      <c r="B303" s="232"/>
      <c r="C303" s="232"/>
      <c r="D303" s="232"/>
      <c r="E303" s="232"/>
      <c r="F303" s="234"/>
      <c r="G303" s="232"/>
      <c r="H303" s="232"/>
      <c r="I303" s="232"/>
      <c r="J303" s="234"/>
      <c r="K303" s="234"/>
      <c r="L303" s="234"/>
      <c r="M303" s="232"/>
      <c r="N303" s="232"/>
      <c r="O303" s="233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  <c r="AA303" s="232"/>
      <c r="AB303" s="234"/>
      <c r="AC303" s="234"/>
      <c r="AD303" s="234"/>
      <c r="AE303" s="232"/>
      <c r="AF303" s="232"/>
      <c r="AG303" s="294"/>
      <c r="AH303" s="294"/>
      <c r="AI303" s="232"/>
      <c r="AJ303" s="232"/>
      <c r="AK303" s="232"/>
      <c r="AL303" s="232"/>
      <c r="AM303" s="232"/>
      <c r="AN303" s="232"/>
      <c r="AO303" s="232"/>
      <c r="AP303" s="234"/>
      <c r="AQ303" s="232"/>
      <c r="AR303" s="232"/>
      <c r="AS303" s="232"/>
      <c r="AT303" s="232"/>
      <c r="AU303" s="233"/>
      <c r="AV303" s="232"/>
      <c r="AW303" s="232"/>
      <c r="AX303" s="233"/>
      <c r="AY303" s="233"/>
      <c r="AZ303" s="232"/>
      <c r="BA303" s="232"/>
      <c r="BB303" s="232"/>
      <c r="BC303" s="232"/>
      <c r="BD303" s="232"/>
      <c r="BE303" s="232"/>
      <c r="BF303" s="232"/>
      <c r="BG303" s="232"/>
      <c r="BH303" s="232"/>
      <c r="BI303" s="232"/>
      <c r="BJ303" s="232"/>
      <c r="BK303" s="233"/>
      <c r="BL303" s="232"/>
      <c r="BM303" s="232"/>
      <c r="BN303" s="232"/>
      <c r="BO303" s="232"/>
      <c r="BP303" s="232"/>
      <c r="BQ303" s="232"/>
      <c r="BR303" s="232"/>
      <c r="BS303" s="232"/>
      <c r="BT303" s="232"/>
      <c r="BU303" s="232"/>
      <c r="BV303" s="232"/>
      <c r="BW303" s="232"/>
      <c r="BX303" s="232"/>
      <c r="BY303" s="232"/>
    </row>
    <row r="304" spans="1:77" ht="35.25" customHeight="1" x14ac:dyDescent="0.25">
      <c r="A304" s="210"/>
      <c r="B304" s="232"/>
      <c r="C304" s="232"/>
      <c r="D304" s="232"/>
      <c r="E304" s="232"/>
      <c r="F304" s="234"/>
      <c r="G304" s="232"/>
      <c r="H304" s="232"/>
      <c r="I304" s="232"/>
      <c r="J304" s="234"/>
      <c r="K304" s="234"/>
      <c r="L304" s="234"/>
      <c r="M304" s="232"/>
      <c r="N304" s="232"/>
      <c r="O304" s="233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  <c r="AA304" s="232"/>
      <c r="AB304" s="234"/>
      <c r="AC304" s="234"/>
      <c r="AD304" s="234"/>
      <c r="AE304" s="232"/>
      <c r="AF304" s="232"/>
      <c r="AG304" s="294"/>
      <c r="AH304" s="294"/>
      <c r="AI304" s="232"/>
      <c r="AJ304" s="232"/>
      <c r="AK304" s="232"/>
      <c r="AL304" s="232"/>
      <c r="AM304" s="232"/>
      <c r="AN304" s="232"/>
      <c r="AO304" s="232"/>
      <c r="AP304" s="234"/>
      <c r="AQ304" s="232"/>
      <c r="AR304" s="232"/>
      <c r="AS304" s="232"/>
      <c r="AT304" s="232"/>
      <c r="AU304" s="233"/>
      <c r="AV304" s="232"/>
      <c r="AW304" s="232"/>
      <c r="AX304" s="233"/>
      <c r="AY304" s="233"/>
      <c r="AZ304" s="232"/>
      <c r="BA304" s="232"/>
      <c r="BB304" s="232"/>
      <c r="BC304" s="232"/>
      <c r="BD304" s="232"/>
      <c r="BE304" s="232"/>
      <c r="BF304" s="232"/>
      <c r="BG304" s="232"/>
      <c r="BH304" s="232"/>
      <c r="BI304" s="232"/>
      <c r="BJ304" s="232"/>
      <c r="BK304" s="233"/>
      <c r="BL304" s="232"/>
      <c r="BM304" s="232"/>
      <c r="BN304" s="232"/>
      <c r="BO304" s="232"/>
      <c r="BP304" s="232"/>
      <c r="BQ304" s="232"/>
      <c r="BR304" s="232"/>
      <c r="BS304" s="232"/>
      <c r="BT304" s="232"/>
      <c r="BU304" s="232"/>
      <c r="BV304" s="232"/>
      <c r="BW304" s="232"/>
      <c r="BX304" s="232"/>
      <c r="BY304" s="232"/>
    </row>
    <row r="305" spans="1:77" ht="35.25" customHeight="1" x14ac:dyDescent="0.25">
      <c r="A305" s="210"/>
      <c r="B305" s="232"/>
      <c r="C305" s="232"/>
      <c r="D305" s="232"/>
      <c r="E305" s="232"/>
      <c r="F305" s="234"/>
      <c r="G305" s="232"/>
      <c r="H305" s="232"/>
      <c r="I305" s="232"/>
      <c r="J305" s="234"/>
      <c r="K305" s="234"/>
      <c r="L305" s="234"/>
      <c r="M305" s="232"/>
      <c r="N305" s="232"/>
      <c r="O305" s="233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  <c r="AA305" s="232"/>
      <c r="AB305" s="234"/>
      <c r="AC305" s="234"/>
      <c r="AD305" s="234"/>
      <c r="AE305" s="232"/>
      <c r="AF305" s="232"/>
      <c r="AG305" s="294"/>
      <c r="AH305" s="294"/>
      <c r="AI305" s="232"/>
      <c r="AJ305" s="232"/>
      <c r="AK305" s="232"/>
      <c r="AL305" s="232"/>
      <c r="AM305" s="232"/>
      <c r="AN305" s="232"/>
      <c r="AO305" s="232"/>
      <c r="AP305" s="234"/>
      <c r="AQ305" s="232"/>
      <c r="AR305" s="232"/>
      <c r="AS305" s="232"/>
      <c r="AT305" s="232"/>
      <c r="AU305" s="233"/>
      <c r="AV305" s="232"/>
      <c r="AW305" s="232"/>
      <c r="AX305" s="233"/>
      <c r="AY305" s="233"/>
      <c r="AZ305" s="232"/>
      <c r="BA305" s="232"/>
      <c r="BB305" s="232"/>
      <c r="BC305" s="232"/>
      <c r="BD305" s="232"/>
      <c r="BE305" s="232"/>
      <c r="BF305" s="232"/>
      <c r="BG305" s="232"/>
      <c r="BH305" s="232"/>
      <c r="BI305" s="232"/>
      <c r="BJ305" s="232"/>
      <c r="BK305" s="233"/>
      <c r="BL305" s="232"/>
      <c r="BM305" s="232"/>
      <c r="BN305" s="232"/>
      <c r="BO305" s="232"/>
      <c r="BP305" s="232"/>
      <c r="BQ305" s="232"/>
      <c r="BR305" s="232"/>
      <c r="BS305" s="232"/>
      <c r="BT305" s="232"/>
      <c r="BU305" s="232"/>
      <c r="BV305" s="232"/>
      <c r="BW305" s="232"/>
      <c r="BX305" s="232"/>
      <c r="BY305" s="232"/>
    </row>
    <row r="306" spans="1:77" ht="35.25" customHeight="1" x14ac:dyDescent="0.25">
      <c r="A306" s="210"/>
      <c r="B306" s="232"/>
      <c r="C306" s="232"/>
      <c r="D306" s="232"/>
      <c r="E306" s="232"/>
      <c r="F306" s="234"/>
      <c r="G306" s="232"/>
      <c r="H306" s="232"/>
      <c r="I306" s="232"/>
      <c r="J306" s="234"/>
      <c r="K306" s="234"/>
      <c r="L306" s="234"/>
      <c r="M306" s="232"/>
      <c r="N306" s="232"/>
      <c r="O306" s="233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  <c r="AA306" s="232"/>
      <c r="AB306" s="234"/>
      <c r="AC306" s="234"/>
      <c r="AD306" s="234"/>
      <c r="AE306" s="232"/>
      <c r="AF306" s="232"/>
      <c r="AG306" s="294"/>
      <c r="AH306" s="294"/>
      <c r="AI306" s="232"/>
      <c r="AJ306" s="232"/>
      <c r="AK306" s="232"/>
      <c r="AL306" s="232"/>
      <c r="AM306" s="232"/>
      <c r="AN306" s="232"/>
      <c r="AO306" s="232"/>
      <c r="AP306" s="234"/>
      <c r="AQ306" s="232"/>
      <c r="AR306" s="232"/>
      <c r="AS306" s="232"/>
      <c r="AT306" s="232"/>
      <c r="AU306" s="233"/>
      <c r="AV306" s="232"/>
      <c r="AW306" s="232"/>
      <c r="AX306" s="233"/>
      <c r="AY306" s="233"/>
      <c r="AZ306" s="232"/>
      <c r="BA306" s="232"/>
      <c r="BB306" s="232"/>
      <c r="BC306" s="232"/>
      <c r="BD306" s="232"/>
      <c r="BE306" s="232"/>
      <c r="BF306" s="232"/>
      <c r="BG306" s="232"/>
      <c r="BH306" s="232"/>
      <c r="BI306" s="232"/>
      <c r="BJ306" s="232"/>
      <c r="BK306" s="233"/>
      <c r="BL306" s="232"/>
      <c r="BM306" s="232"/>
      <c r="BN306" s="232"/>
      <c r="BO306" s="232"/>
      <c r="BP306" s="232"/>
      <c r="BQ306" s="232"/>
      <c r="BR306" s="232"/>
      <c r="BS306" s="232"/>
      <c r="BT306" s="232"/>
      <c r="BU306" s="232"/>
      <c r="BV306" s="232"/>
      <c r="BW306" s="232"/>
      <c r="BX306" s="232"/>
      <c r="BY306" s="232"/>
    </row>
    <row r="307" spans="1:77" ht="35.25" customHeight="1" x14ac:dyDescent="0.25">
      <c r="A307" s="210"/>
      <c r="B307" s="232"/>
      <c r="C307" s="232"/>
      <c r="D307" s="232"/>
      <c r="E307" s="232"/>
      <c r="F307" s="234"/>
      <c r="G307" s="232"/>
      <c r="H307" s="232"/>
      <c r="I307" s="232"/>
      <c r="J307" s="234"/>
      <c r="K307" s="234"/>
      <c r="L307" s="234"/>
      <c r="M307" s="232"/>
      <c r="N307" s="232"/>
      <c r="O307" s="233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  <c r="AA307" s="232"/>
      <c r="AB307" s="234"/>
      <c r="AC307" s="234"/>
      <c r="AD307" s="234"/>
      <c r="AE307" s="232"/>
      <c r="AF307" s="232"/>
      <c r="AG307" s="294"/>
      <c r="AH307" s="294"/>
      <c r="AI307" s="232"/>
      <c r="AJ307" s="232"/>
      <c r="AK307" s="232"/>
      <c r="AL307" s="232"/>
      <c r="AM307" s="232"/>
      <c r="AN307" s="232"/>
      <c r="AO307" s="232"/>
      <c r="AP307" s="234"/>
      <c r="AQ307" s="232"/>
      <c r="AR307" s="232"/>
      <c r="AS307" s="232"/>
      <c r="AT307" s="232"/>
      <c r="AU307" s="233"/>
      <c r="AV307" s="232"/>
      <c r="AW307" s="232"/>
      <c r="AX307" s="233"/>
      <c r="AY307" s="233"/>
      <c r="AZ307" s="232"/>
      <c r="BA307" s="232"/>
      <c r="BB307" s="232"/>
      <c r="BC307" s="232"/>
      <c r="BD307" s="232"/>
      <c r="BE307" s="232"/>
      <c r="BF307" s="232"/>
      <c r="BG307" s="232"/>
      <c r="BH307" s="232"/>
      <c r="BI307" s="232"/>
      <c r="BJ307" s="232"/>
      <c r="BK307" s="233"/>
      <c r="BL307" s="232"/>
      <c r="BM307" s="232"/>
      <c r="BN307" s="232"/>
      <c r="BO307" s="232"/>
      <c r="BP307" s="232"/>
      <c r="BQ307" s="232"/>
      <c r="BR307" s="232"/>
      <c r="BS307" s="232"/>
      <c r="BT307" s="232"/>
      <c r="BU307" s="232"/>
      <c r="BV307" s="232"/>
      <c r="BW307" s="232"/>
      <c r="BX307" s="232"/>
      <c r="BY307" s="232"/>
    </row>
    <row r="308" spans="1:77" ht="35.25" customHeight="1" x14ac:dyDescent="0.25">
      <c r="A308" s="210"/>
      <c r="B308" s="232"/>
      <c r="C308" s="232"/>
      <c r="D308" s="232"/>
      <c r="E308" s="232"/>
      <c r="F308" s="234"/>
      <c r="G308" s="232"/>
      <c r="H308" s="232"/>
      <c r="I308" s="232"/>
      <c r="J308" s="234"/>
      <c r="K308" s="234"/>
      <c r="L308" s="234"/>
      <c r="M308" s="232"/>
      <c r="N308" s="232"/>
      <c r="O308" s="233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  <c r="AA308" s="232"/>
      <c r="AB308" s="234"/>
      <c r="AC308" s="234"/>
      <c r="AD308" s="234"/>
      <c r="AE308" s="232"/>
      <c r="AF308" s="232"/>
      <c r="AG308" s="294"/>
      <c r="AH308" s="294"/>
      <c r="AI308" s="232"/>
      <c r="AJ308" s="232"/>
      <c r="AK308" s="232"/>
      <c r="AL308" s="232"/>
      <c r="AM308" s="232"/>
      <c r="AN308" s="232"/>
      <c r="AO308" s="232"/>
      <c r="AP308" s="234"/>
      <c r="AQ308" s="232"/>
      <c r="AR308" s="232"/>
      <c r="AS308" s="232"/>
      <c r="AT308" s="232"/>
      <c r="AU308" s="233"/>
      <c r="AV308" s="232"/>
      <c r="AW308" s="232"/>
      <c r="AX308" s="233"/>
      <c r="AY308" s="233"/>
      <c r="AZ308" s="232"/>
      <c r="BA308" s="232"/>
      <c r="BB308" s="232"/>
      <c r="BC308" s="232"/>
      <c r="BD308" s="232"/>
      <c r="BE308" s="232"/>
      <c r="BF308" s="232"/>
      <c r="BG308" s="232"/>
      <c r="BH308" s="232"/>
      <c r="BI308" s="232"/>
      <c r="BJ308" s="232"/>
      <c r="BK308" s="233"/>
      <c r="BL308" s="232"/>
      <c r="BM308" s="232"/>
      <c r="BN308" s="232"/>
      <c r="BO308" s="232"/>
      <c r="BP308" s="232"/>
      <c r="BQ308" s="232"/>
      <c r="BR308" s="232"/>
      <c r="BS308" s="232"/>
      <c r="BT308" s="232"/>
      <c r="BU308" s="232"/>
      <c r="BV308" s="232"/>
      <c r="BW308" s="232"/>
      <c r="BX308" s="232"/>
      <c r="BY308" s="232"/>
    </row>
    <row r="309" spans="1:77" ht="35.25" customHeight="1" x14ac:dyDescent="0.25">
      <c r="A309" s="210"/>
      <c r="B309" s="232"/>
      <c r="C309" s="232"/>
      <c r="D309" s="232"/>
      <c r="E309" s="232"/>
      <c r="F309" s="234"/>
      <c r="G309" s="232"/>
      <c r="H309" s="232"/>
      <c r="I309" s="232"/>
      <c r="J309" s="234"/>
      <c r="K309" s="234"/>
      <c r="L309" s="234"/>
      <c r="M309" s="232"/>
      <c r="N309" s="232"/>
      <c r="O309" s="233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  <c r="AA309" s="232"/>
      <c r="AB309" s="234"/>
      <c r="AC309" s="234"/>
      <c r="AD309" s="234"/>
      <c r="AE309" s="232"/>
      <c r="AF309" s="232"/>
      <c r="AG309" s="294"/>
      <c r="AH309" s="294"/>
      <c r="AI309" s="232"/>
      <c r="AJ309" s="232"/>
      <c r="AK309" s="232"/>
      <c r="AL309" s="232"/>
      <c r="AM309" s="232"/>
      <c r="AN309" s="232"/>
      <c r="AO309" s="232"/>
      <c r="AP309" s="234"/>
      <c r="AQ309" s="232"/>
      <c r="AR309" s="232"/>
      <c r="AS309" s="232"/>
      <c r="AT309" s="232"/>
      <c r="AU309" s="233"/>
      <c r="AV309" s="232"/>
      <c r="AW309" s="232"/>
      <c r="AX309" s="233"/>
      <c r="AY309" s="233"/>
      <c r="AZ309" s="232"/>
      <c r="BA309" s="232"/>
      <c r="BB309" s="232"/>
      <c r="BC309" s="232"/>
      <c r="BD309" s="232"/>
      <c r="BE309" s="232"/>
      <c r="BF309" s="232"/>
      <c r="BG309" s="232"/>
      <c r="BH309" s="232"/>
      <c r="BI309" s="232"/>
      <c r="BJ309" s="232"/>
      <c r="BK309" s="233"/>
      <c r="BL309" s="232"/>
      <c r="BM309" s="232"/>
      <c r="BN309" s="232"/>
      <c r="BO309" s="232"/>
      <c r="BP309" s="232"/>
      <c r="BQ309" s="232"/>
      <c r="BR309" s="232"/>
      <c r="BS309" s="232"/>
      <c r="BT309" s="232"/>
      <c r="BU309" s="232"/>
      <c r="BV309" s="232"/>
      <c r="BW309" s="232"/>
      <c r="BX309" s="232"/>
      <c r="BY309" s="232"/>
    </row>
    <row r="310" spans="1:77" ht="35.25" customHeight="1" x14ac:dyDescent="0.25">
      <c r="A310" s="210"/>
      <c r="B310" s="232"/>
      <c r="C310" s="232"/>
      <c r="D310" s="232"/>
      <c r="E310" s="232"/>
      <c r="F310" s="234"/>
      <c r="G310" s="232"/>
      <c r="H310" s="232"/>
      <c r="I310" s="232"/>
      <c r="J310" s="234"/>
      <c r="K310" s="234"/>
      <c r="L310" s="234"/>
      <c r="M310" s="232"/>
      <c r="N310" s="232"/>
      <c r="O310" s="233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  <c r="AA310" s="232"/>
      <c r="AB310" s="234"/>
      <c r="AC310" s="234"/>
      <c r="AD310" s="234"/>
      <c r="AE310" s="232"/>
      <c r="AF310" s="232"/>
      <c r="AG310" s="294"/>
      <c r="AH310" s="294"/>
      <c r="AI310" s="232"/>
      <c r="AJ310" s="232"/>
      <c r="AK310" s="232"/>
      <c r="AL310" s="232"/>
      <c r="AM310" s="232"/>
      <c r="AN310" s="232"/>
      <c r="AO310" s="232"/>
      <c r="AP310" s="234"/>
      <c r="AQ310" s="232"/>
      <c r="AR310" s="232"/>
      <c r="AS310" s="232"/>
      <c r="AT310" s="232"/>
      <c r="AU310" s="233"/>
      <c r="AV310" s="232"/>
      <c r="AW310" s="232"/>
      <c r="AX310" s="233"/>
      <c r="AY310" s="233"/>
      <c r="AZ310" s="232"/>
      <c r="BA310" s="232"/>
      <c r="BB310" s="232"/>
      <c r="BC310" s="232"/>
      <c r="BD310" s="232"/>
      <c r="BE310" s="232"/>
      <c r="BF310" s="232"/>
      <c r="BG310" s="232"/>
      <c r="BH310" s="232"/>
      <c r="BI310" s="232"/>
      <c r="BJ310" s="232"/>
      <c r="BK310" s="233"/>
      <c r="BL310" s="232"/>
      <c r="BM310" s="232"/>
      <c r="BN310" s="232"/>
      <c r="BO310" s="232"/>
      <c r="BP310" s="232"/>
      <c r="BQ310" s="232"/>
      <c r="BR310" s="232"/>
      <c r="BS310" s="232"/>
      <c r="BT310" s="232"/>
      <c r="BU310" s="232"/>
      <c r="BV310" s="232"/>
      <c r="BW310" s="232"/>
      <c r="BX310" s="232"/>
      <c r="BY310" s="232"/>
    </row>
    <row r="311" spans="1:77" ht="35.25" customHeight="1" x14ac:dyDescent="0.25">
      <c r="A311" s="210"/>
      <c r="B311" s="232"/>
      <c r="C311" s="232"/>
      <c r="D311" s="232"/>
      <c r="E311" s="232"/>
      <c r="F311" s="234"/>
      <c r="G311" s="232"/>
      <c r="H311" s="232"/>
      <c r="I311" s="232"/>
      <c r="J311" s="234"/>
      <c r="K311" s="234"/>
      <c r="L311" s="234"/>
      <c r="M311" s="232"/>
      <c r="N311" s="232"/>
      <c r="O311" s="233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  <c r="AA311" s="232"/>
      <c r="AB311" s="234"/>
      <c r="AC311" s="234"/>
      <c r="AD311" s="234"/>
      <c r="AE311" s="232"/>
      <c r="AF311" s="232"/>
      <c r="AG311" s="294"/>
      <c r="AH311" s="294"/>
      <c r="AI311" s="232"/>
      <c r="AJ311" s="232"/>
      <c r="AK311" s="232"/>
      <c r="AL311" s="232"/>
      <c r="AM311" s="232"/>
      <c r="AN311" s="232"/>
      <c r="AO311" s="232"/>
      <c r="AP311" s="234"/>
      <c r="AQ311" s="232"/>
      <c r="AR311" s="232"/>
      <c r="AS311" s="232"/>
      <c r="AT311" s="232"/>
      <c r="AU311" s="233"/>
      <c r="AV311" s="232"/>
      <c r="AW311" s="232"/>
      <c r="AX311" s="233"/>
      <c r="AY311" s="233"/>
      <c r="AZ311" s="232"/>
      <c r="BA311" s="232"/>
      <c r="BB311" s="232"/>
      <c r="BC311" s="232"/>
      <c r="BD311" s="232"/>
      <c r="BE311" s="232"/>
      <c r="BF311" s="232"/>
      <c r="BG311" s="232"/>
      <c r="BH311" s="232"/>
      <c r="BI311" s="232"/>
      <c r="BJ311" s="232"/>
      <c r="BK311" s="233"/>
      <c r="BL311" s="232"/>
      <c r="BM311" s="232"/>
      <c r="BN311" s="232"/>
      <c r="BO311" s="232"/>
      <c r="BP311" s="232"/>
      <c r="BQ311" s="232"/>
      <c r="BR311" s="232"/>
      <c r="BS311" s="232"/>
      <c r="BT311" s="232"/>
      <c r="BU311" s="232"/>
      <c r="BV311" s="232"/>
      <c r="BW311" s="232"/>
      <c r="BX311" s="232"/>
      <c r="BY311" s="232"/>
    </row>
    <row r="312" spans="1:77" ht="35.25" customHeight="1" x14ac:dyDescent="0.25">
      <c r="A312" s="210"/>
      <c r="B312" s="232"/>
      <c r="C312" s="232"/>
      <c r="D312" s="232"/>
      <c r="E312" s="232"/>
      <c r="F312" s="234"/>
      <c r="G312" s="232"/>
      <c r="H312" s="232"/>
      <c r="I312" s="232"/>
      <c r="J312" s="234"/>
      <c r="K312" s="234"/>
      <c r="L312" s="234"/>
      <c r="M312" s="232"/>
      <c r="N312" s="232"/>
      <c r="O312" s="233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4"/>
      <c r="AC312" s="234"/>
      <c r="AD312" s="234"/>
      <c r="AE312" s="232"/>
      <c r="AF312" s="232"/>
      <c r="AG312" s="294"/>
      <c r="AH312" s="294"/>
      <c r="AI312" s="232"/>
      <c r="AJ312" s="232"/>
      <c r="AK312" s="232"/>
      <c r="AL312" s="232"/>
      <c r="AM312" s="232"/>
      <c r="AN312" s="232"/>
      <c r="AO312" s="232"/>
      <c r="AP312" s="234"/>
      <c r="AQ312" s="232"/>
      <c r="AR312" s="232"/>
      <c r="AS312" s="232"/>
      <c r="AT312" s="232"/>
      <c r="AU312" s="233"/>
      <c r="AV312" s="232"/>
      <c r="AW312" s="232"/>
      <c r="AX312" s="233"/>
      <c r="AY312" s="233"/>
      <c r="AZ312" s="232"/>
      <c r="BA312" s="232"/>
      <c r="BB312" s="232"/>
      <c r="BC312" s="232"/>
      <c r="BD312" s="232"/>
      <c r="BE312" s="232"/>
      <c r="BF312" s="232"/>
      <c r="BG312" s="232"/>
      <c r="BH312" s="232"/>
      <c r="BI312" s="232"/>
      <c r="BJ312" s="232"/>
      <c r="BK312" s="233"/>
      <c r="BL312" s="232"/>
      <c r="BM312" s="232"/>
      <c r="BN312" s="232"/>
      <c r="BO312" s="232"/>
      <c r="BP312" s="232"/>
      <c r="BQ312" s="232"/>
      <c r="BR312" s="232"/>
      <c r="BS312" s="232"/>
      <c r="BT312" s="232"/>
      <c r="BU312" s="232"/>
      <c r="BV312" s="232"/>
      <c r="BW312" s="232"/>
      <c r="BX312" s="232"/>
      <c r="BY312" s="232"/>
    </row>
    <row r="313" spans="1:77" ht="35.25" customHeight="1" x14ac:dyDescent="0.25">
      <c r="A313" s="210"/>
      <c r="B313" s="232"/>
      <c r="C313" s="232"/>
      <c r="D313" s="232"/>
      <c r="E313" s="232"/>
      <c r="F313" s="234"/>
      <c r="G313" s="232"/>
      <c r="H313" s="232"/>
      <c r="I313" s="232"/>
      <c r="J313" s="234"/>
      <c r="K313" s="234"/>
      <c r="L313" s="234"/>
      <c r="M313" s="232"/>
      <c r="N313" s="232"/>
      <c r="O313" s="233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  <c r="AA313" s="232"/>
      <c r="AB313" s="234"/>
      <c r="AC313" s="234"/>
      <c r="AD313" s="234"/>
      <c r="AE313" s="232"/>
      <c r="AF313" s="232"/>
      <c r="AG313" s="294"/>
      <c r="AH313" s="294"/>
      <c r="AI313" s="232"/>
      <c r="AJ313" s="232"/>
      <c r="AK313" s="232"/>
      <c r="AL313" s="232"/>
      <c r="AM313" s="232"/>
      <c r="AN313" s="232"/>
      <c r="AO313" s="232"/>
      <c r="AP313" s="234"/>
      <c r="AQ313" s="232"/>
      <c r="AR313" s="232"/>
      <c r="AS313" s="232"/>
      <c r="AT313" s="232"/>
      <c r="AU313" s="233"/>
      <c r="AV313" s="232"/>
      <c r="AW313" s="232"/>
      <c r="AX313" s="233"/>
      <c r="AY313" s="233"/>
      <c r="AZ313" s="232"/>
      <c r="BA313" s="232"/>
      <c r="BB313" s="232"/>
      <c r="BC313" s="232"/>
      <c r="BD313" s="232"/>
      <c r="BE313" s="232"/>
      <c r="BF313" s="232"/>
      <c r="BG313" s="232"/>
      <c r="BH313" s="232"/>
      <c r="BI313" s="232"/>
      <c r="BJ313" s="232"/>
      <c r="BK313" s="233"/>
      <c r="BL313" s="232"/>
      <c r="BM313" s="232"/>
      <c r="BN313" s="232"/>
      <c r="BO313" s="232"/>
      <c r="BP313" s="232"/>
      <c r="BQ313" s="232"/>
      <c r="BR313" s="232"/>
      <c r="BS313" s="232"/>
      <c r="BT313" s="232"/>
      <c r="BU313" s="232"/>
      <c r="BV313" s="232"/>
      <c r="BW313" s="232"/>
      <c r="BX313" s="232"/>
      <c r="BY313" s="232"/>
    </row>
    <row r="314" spans="1:77" ht="35.25" customHeight="1" x14ac:dyDescent="0.25">
      <c r="A314" s="210"/>
      <c r="B314" s="232"/>
      <c r="C314" s="232"/>
      <c r="D314" s="232"/>
      <c r="E314" s="232"/>
      <c r="F314" s="234"/>
      <c r="G314" s="232"/>
      <c r="H314" s="232"/>
      <c r="I314" s="232"/>
      <c r="J314" s="234"/>
      <c r="K314" s="234"/>
      <c r="L314" s="234"/>
      <c r="M314" s="232"/>
      <c r="N314" s="232"/>
      <c r="O314" s="233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  <c r="AA314" s="232"/>
      <c r="AB314" s="234"/>
      <c r="AC314" s="234"/>
      <c r="AD314" s="234"/>
      <c r="AE314" s="232"/>
      <c r="AF314" s="232"/>
      <c r="AG314" s="294"/>
      <c r="AH314" s="294"/>
      <c r="AI314" s="232"/>
      <c r="AJ314" s="232"/>
      <c r="AK314" s="232"/>
      <c r="AL314" s="232"/>
      <c r="AM314" s="232"/>
      <c r="AN314" s="232"/>
      <c r="AO314" s="232"/>
      <c r="AP314" s="234"/>
      <c r="AQ314" s="232"/>
      <c r="AR314" s="232"/>
      <c r="AS314" s="232"/>
      <c r="AT314" s="232"/>
      <c r="AU314" s="233"/>
      <c r="AV314" s="232"/>
      <c r="AW314" s="232"/>
      <c r="AX314" s="233"/>
      <c r="AY314" s="233"/>
      <c r="AZ314" s="232"/>
      <c r="BA314" s="232"/>
      <c r="BB314" s="232"/>
      <c r="BC314" s="232"/>
      <c r="BD314" s="232"/>
      <c r="BE314" s="232"/>
      <c r="BF314" s="232"/>
      <c r="BG314" s="232"/>
      <c r="BH314" s="232"/>
      <c r="BI314" s="232"/>
      <c r="BJ314" s="232"/>
      <c r="BK314" s="233"/>
      <c r="BL314" s="232"/>
      <c r="BM314" s="232"/>
      <c r="BN314" s="232"/>
      <c r="BO314" s="232"/>
      <c r="BP314" s="232"/>
      <c r="BQ314" s="232"/>
      <c r="BR314" s="232"/>
      <c r="BS314" s="232"/>
      <c r="BT314" s="232"/>
      <c r="BU314" s="232"/>
      <c r="BV314" s="232"/>
      <c r="BW314" s="232"/>
      <c r="BX314" s="232"/>
      <c r="BY314" s="232"/>
    </row>
    <row r="315" spans="1:77" ht="35.25" customHeight="1" x14ac:dyDescent="0.25">
      <c r="A315" s="210"/>
      <c r="B315" s="232"/>
      <c r="C315" s="232"/>
      <c r="D315" s="232"/>
      <c r="E315" s="232"/>
      <c r="F315" s="234"/>
      <c r="G315" s="232"/>
      <c r="H315" s="232"/>
      <c r="I315" s="232"/>
      <c r="J315" s="234"/>
      <c r="K315" s="234"/>
      <c r="L315" s="234"/>
      <c r="M315" s="232"/>
      <c r="N315" s="232"/>
      <c r="O315" s="233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  <c r="AA315" s="232"/>
      <c r="AB315" s="234"/>
      <c r="AC315" s="234"/>
      <c r="AD315" s="234"/>
      <c r="AE315" s="232"/>
      <c r="AF315" s="232"/>
      <c r="AG315" s="294"/>
      <c r="AH315" s="294"/>
      <c r="AI315" s="232"/>
      <c r="AJ315" s="232"/>
      <c r="AK315" s="232"/>
      <c r="AL315" s="232"/>
      <c r="AM315" s="232"/>
      <c r="AN315" s="232"/>
      <c r="AO315" s="232"/>
      <c r="AP315" s="234"/>
      <c r="AQ315" s="232"/>
      <c r="AR315" s="232"/>
      <c r="AS315" s="232"/>
      <c r="AT315" s="232"/>
      <c r="AU315" s="233"/>
      <c r="AV315" s="232"/>
      <c r="AW315" s="232"/>
      <c r="AX315" s="233"/>
      <c r="AY315" s="233"/>
      <c r="AZ315" s="232"/>
      <c r="BA315" s="232"/>
      <c r="BB315" s="232"/>
      <c r="BC315" s="232"/>
      <c r="BD315" s="232"/>
      <c r="BE315" s="232"/>
      <c r="BF315" s="232"/>
      <c r="BG315" s="232"/>
      <c r="BH315" s="232"/>
      <c r="BI315" s="232"/>
      <c r="BJ315" s="232"/>
      <c r="BK315" s="233"/>
      <c r="BL315" s="232"/>
      <c r="BM315" s="232"/>
      <c r="BN315" s="232"/>
      <c r="BO315" s="232"/>
      <c r="BP315" s="232"/>
      <c r="BQ315" s="232"/>
      <c r="BR315" s="232"/>
      <c r="BS315" s="232"/>
      <c r="BT315" s="232"/>
      <c r="BU315" s="232"/>
      <c r="BV315" s="232"/>
      <c r="BW315" s="232"/>
      <c r="BX315" s="232"/>
      <c r="BY315" s="232"/>
    </row>
    <row r="316" spans="1:77" ht="35.25" customHeight="1" x14ac:dyDescent="0.25">
      <c r="A316" s="210"/>
      <c r="B316" s="232"/>
      <c r="C316" s="232"/>
      <c r="D316" s="232"/>
      <c r="E316" s="232"/>
      <c r="F316" s="234"/>
      <c r="G316" s="232"/>
      <c r="H316" s="232"/>
      <c r="I316" s="232"/>
      <c r="J316" s="234"/>
      <c r="K316" s="234"/>
      <c r="L316" s="234"/>
      <c r="M316" s="232"/>
      <c r="N316" s="232"/>
      <c r="O316" s="233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  <c r="AA316" s="232"/>
      <c r="AB316" s="234"/>
      <c r="AC316" s="234"/>
      <c r="AD316" s="234"/>
      <c r="AE316" s="232"/>
      <c r="AF316" s="232"/>
      <c r="AG316" s="294"/>
      <c r="AH316" s="294"/>
      <c r="AI316" s="232"/>
      <c r="AJ316" s="232"/>
      <c r="AK316" s="232"/>
      <c r="AL316" s="232"/>
      <c r="AM316" s="232"/>
      <c r="AN316" s="232"/>
      <c r="AO316" s="232"/>
      <c r="AP316" s="234"/>
      <c r="AQ316" s="232"/>
      <c r="AR316" s="232"/>
      <c r="AS316" s="232"/>
      <c r="AT316" s="232"/>
      <c r="AU316" s="233"/>
      <c r="AV316" s="232"/>
      <c r="AW316" s="232"/>
      <c r="AX316" s="233"/>
      <c r="AY316" s="233"/>
      <c r="AZ316" s="232"/>
      <c r="BA316" s="232"/>
      <c r="BB316" s="232"/>
      <c r="BC316" s="232"/>
      <c r="BD316" s="232"/>
      <c r="BE316" s="232"/>
      <c r="BF316" s="232"/>
      <c r="BG316" s="232"/>
      <c r="BH316" s="232"/>
      <c r="BI316" s="232"/>
      <c r="BJ316" s="232"/>
      <c r="BK316" s="233"/>
      <c r="BL316" s="232"/>
      <c r="BM316" s="232"/>
      <c r="BN316" s="232"/>
      <c r="BO316" s="232"/>
      <c r="BP316" s="232"/>
      <c r="BQ316" s="232"/>
      <c r="BR316" s="232"/>
      <c r="BS316" s="232"/>
      <c r="BT316" s="232"/>
      <c r="BU316" s="232"/>
      <c r="BV316" s="232"/>
      <c r="BW316" s="232"/>
      <c r="BX316" s="232"/>
      <c r="BY316" s="232"/>
    </row>
    <row r="317" spans="1:77" ht="35.25" customHeight="1" x14ac:dyDescent="0.25">
      <c r="A317" s="210"/>
      <c r="B317" s="232"/>
      <c r="C317" s="232"/>
      <c r="D317" s="232"/>
      <c r="E317" s="232"/>
      <c r="F317" s="234"/>
      <c r="G317" s="232"/>
      <c r="H317" s="232"/>
      <c r="I317" s="232"/>
      <c r="J317" s="234"/>
      <c r="K317" s="234"/>
      <c r="L317" s="234"/>
      <c r="M317" s="232"/>
      <c r="N317" s="232"/>
      <c r="O317" s="233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  <c r="AA317" s="232"/>
      <c r="AB317" s="234"/>
      <c r="AC317" s="234"/>
      <c r="AD317" s="234"/>
      <c r="AE317" s="232"/>
      <c r="AF317" s="232"/>
      <c r="AG317" s="294"/>
      <c r="AH317" s="294"/>
      <c r="AI317" s="232"/>
      <c r="AJ317" s="232"/>
      <c r="AK317" s="232"/>
      <c r="AL317" s="232"/>
      <c r="AM317" s="232"/>
      <c r="AN317" s="232"/>
      <c r="AO317" s="232"/>
      <c r="AP317" s="234"/>
      <c r="AQ317" s="232"/>
      <c r="AR317" s="232"/>
      <c r="AS317" s="232"/>
      <c r="AT317" s="232"/>
      <c r="AU317" s="233"/>
      <c r="AV317" s="232"/>
      <c r="AW317" s="232"/>
      <c r="AX317" s="233"/>
      <c r="AY317" s="233"/>
      <c r="AZ317" s="232"/>
      <c r="BA317" s="232"/>
      <c r="BB317" s="232"/>
      <c r="BC317" s="232"/>
      <c r="BD317" s="232"/>
      <c r="BE317" s="232"/>
      <c r="BF317" s="232"/>
      <c r="BG317" s="232"/>
      <c r="BH317" s="232"/>
      <c r="BI317" s="232"/>
      <c r="BJ317" s="232"/>
      <c r="BK317" s="233"/>
      <c r="BL317" s="232"/>
      <c r="BM317" s="232"/>
      <c r="BN317" s="232"/>
      <c r="BO317" s="232"/>
      <c r="BP317" s="232"/>
      <c r="BQ317" s="232"/>
      <c r="BR317" s="232"/>
      <c r="BS317" s="232"/>
      <c r="BT317" s="232"/>
      <c r="BU317" s="232"/>
      <c r="BV317" s="232"/>
      <c r="BW317" s="232"/>
      <c r="BX317" s="232"/>
      <c r="BY317" s="232"/>
    </row>
    <row r="318" spans="1:77" ht="35.25" customHeight="1" x14ac:dyDescent="0.25">
      <c r="A318" s="210"/>
      <c r="B318" s="232"/>
      <c r="C318" s="232"/>
      <c r="D318" s="232"/>
      <c r="E318" s="232"/>
      <c r="F318" s="234"/>
      <c r="G318" s="232"/>
      <c r="H318" s="232"/>
      <c r="I318" s="232"/>
      <c r="J318" s="234"/>
      <c r="K318" s="234"/>
      <c r="L318" s="234"/>
      <c r="M318" s="232"/>
      <c r="N318" s="232"/>
      <c r="O318" s="233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  <c r="AA318" s="232"/>
      <c r="AB318" s="234"/>
      <c r="AC318" s="234"/>
      <c r="AD318" s="234"/>
      <c r="AE318" s="232"/>
      <c r="AF318" s="232"/>
      <c r="AG318" s="294"/>
      <c r="AH318" s="294"/>
      <c r="AI318" s="232"/>
      <c r="AJ318" s="232"/>
      <c r="AK318" s="232"/>
      <c r="AL318" s="232"/>
      <c r="AM318" s="232"/>
      <c r="AN318" s="232"/>
      <c r="AO318" s="232"/>
      <c r="AP318" s="234"/>
      <c r="AQ318" s="232"/>
      <c r="AR318" s="232"/>
      <c r="AS318" s="232"/>
      <c r="AT318" s="232"/>
      <c r="AU318" s="233"/>
      <c r="AV318" s="232"/>
      <c r="AW318" s="232"/>
      <c r="AX318" s="233"/>
      <c r="AY318" s="233"/>
      <c r="AZ318" s="232"/>
      <c r="BA318" s="232"/>
      <c r="BB318" s="232"/>
      <c r="BC318" s="232"/>
      <c r="BD318" s="232"/>
      <c r="BE318" s="232"/>
      <c r="BF318" s="232"/>
      <c r="BG318" s="232"/>
      <c r="BH318" s="232"/>
      <c r="BI318" s="232"/>
      <c r="BJ318" s="232"/>
      <c r="BK318" s="233"/>
      <c r="BL318" s="232"/>
      <c r="BM318" s="232"/>
      <c r="BN318" s="232"/>
      <c r="BO318" s="232"/>
      <c r="BP318" s="232"/>
      <c r="BQ318" s="232"/>
      <c r="BR318" s="232"/>
      <c r="BS318" s="232"/>
      <c r="BT318" s="232"/>
      <c r="BU318" s="232"/>
      <c r="BV318" s="232"/>
      <c r="BW318" s="232"/>
      <c r="BX318" s="232"/>
      <c r="BY318" s="232"/>
    </row>
    <row r="319" spans="1:77" ht="35.25" customHeight="1" x14ac:dyDescent="0.25">
      <c r="A319" s="210"/>
      <c r="B319" s="232"/>
      <c r="C319" s="232"/>
      <c r="D319" s="232"/>
      <c r="E319" s="232"/>
      <c r="F319" s="234"/>
      <c r="G319" s="232"/>
      <c r="H319" s="232"/>
      <c r="I319" s="232"/>
      <c r="J319" s="234"/>
      <c r="K319" s="234"/>
      <c r="L319" s="234"/>
      <c r="M319" s="232"/>
      <c r="N319" s="232"/>
      <c r="O319" s="233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  <c r="AA319" s="232"/>
      <c r="AB319" s="234"/>
      <c r="AC319" s="234"/>
      <c r="AD319" s="234"/>
      <c r="AE319" s="232"/>
      <c r="AF319" s="232"/>
      <c r="AG319" s="294"/>
      <c r="AH319" s="294"/>
      <c r="AI319" s="232"/>
      <c r="AJ319" s="232"/>
      <c r="AK319" s="232"/>
      <c r="AL319" s="232"/>
      <c r="AM319" s="232"/>
      <c r="AN319" s="232"/>
      <c r="AO319" s="232"/>
      <c r="AP319" s="234"/>
      <c r="AQ319" s="232"/>
      <c r="AR319" s="232"/>
      <c r="AS319" s="232"/>
      <c r="AT319" s="232"/>
      <c r="AU319" s="233"/>
      <c r="AV319" s="232"/>
      <c r="AW319" s="232"/>
      <c r="AX319" s="233"/>
      <c r="AY319" s="233"/>
      <c r="AZ319" s="232"/>
      <c r="BA319" s="232"/>
      <c r="BB319" s="232"/>
      <c r="BC319" s="232"/>
      <c r="BD319" s="232"/>
      <c r="BE319" s="232"/>
      <c r="BF319" s="232"/>
      <c r="BG319" s="232"/>
      <c r="BH319" s="232"/>
      <c r="BI319" s="232"/>
      <c r="BJ319" s="232"/>
      <c r="BK319" s="233"/>
      <c r="BL319" s="232"/>
      <c r="BM319" s="232"/>
      <c r="BN319" s="232"/>
      <c r="BO319" s="232"/>
      <c r="BP319" s="232"/>
      <c r="BQ319" s="232"/>
      <c r="BR319" s="232"/>
      <c r="BS319" s="232"/>
      <c r="BT319" s="232"/>
      <c r="BU319" s="232"/>
      <c r="BV319" s="232"/>
      <c r="BW319" s="232"/>
      <c r="BX319" s="232"/>
      <c r="BY319" s="232"/>
    </row>
    <row r="320" spans="1:77" ht="35.25" customHeight="1" x14ac:dyDescent="0.25">
      <c r="A320" s="210"/>
      <c r="B320" s="232"/>
      <c r="C320" s="232"/>
      <c r="D320" s="232"/>
      <c r="E320" s="232"/>
      <c r="F320" s="234"/>
      <c r="G320" s="232"/>
      <c r="H320" s="232"/>
      <c r="I320" s="232"/>
      <c r="J320" s="234"/>
      <c r="K320" s="234"/>
      <c r="L320" s="234"/>
      <c r="M320" s="232"/>
      <c r="N320" s="232"/>
      <c r="O320" s="233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  <c r="AA320" s="232"/>
      <c r="AB320" s="234"/>
      <c r="AC320" s="234"/>
      <c r="AD320" s="234"/>
      <c r="AE320" s="232"/>
      <c r="AF320" s="232"/>
      <c r="AG320" s="294"/>
      <c r="AH320" s="294"/>
      <c r="AI320" s="232"/>
      <c r="AJ320" s="232"/>
      <c r="AK320" s="232"/>
      <c r="AL320" s="232"/>
      <c r="AM320" s="232"/>
      <c r="AN320" s="232"/>
      <c r="AO320" s="232"/>
      <c r="AP320" s="234"/>
      <c r="AQ320" s="232"/>
      <c r="AR320" s="232"/>
      <c r="AS320" s="232"/>
      <c r="AT320" s="232"/>
      <c r="AU320" s="233"/>
      <c r="AV320" s="232"/>
      <c r="AW320" s="232"/>
      <c r="AX320" s="233"/>
      <c r="AY320" s="233"/>
      <c r="AZ320" s="232"/>
      <c r="BA320" s="232"/>
      <c r="BB320" s="232"/>
      <c r="BC320" s="232"/>
      <c r="BD320" s="232"/>
      <c r="BE320" s="232"/>
      <c r="BF320" s="232"/>
      <c r="BG320" s="232"/>
      <c r="BH320" s="232"/>
      <c r="BI320" s="232"/>
      <c r="BJ320" s="232"/>
      <c r="BK320" s="233"/>
      <c r="BL320" s="232"/>
      <c r="BM320" s="232"/>
      <c r="BN320" s="232"/>
      <c r="BO320" s="232"/>
      <c r="BP320" s="232"/>
      <c r="BQ320" s="232"/>
      <c r="BR320" s="232"/>
      <c r="BS320" s="232"/>
      <c r="BT320" s="232"/>
      <c r="BU320" s="232"/>
      <c r="BV320" s="232"/>
      <c r="BW320" s="232"/>
      <c r="BX320" s="232"/>
      <c r="BY320" s="232"/>
    </row>
    <row r="321" spans="1:77" ht="35.25" customHeight="1" x14ac:dyDescent="0.25">
      <c r="A321" s="210"/>
      <c r="B321" s="232"/>
      <c r="C321" s="232"/>
      <c r="D321" s="232"/>
      <c r="E321" s="232"/>
      <c r="F321" s="234"/>
      <c r="G321" s="232"/>
      <c r="H321" s="232"/>
      <c r="I321" s="232"/>
      <c r="J321" s="234"/>
      <c r="K321" s="234"/>
      <c r="L321" s="234"/>
      <c r="M321" s="232"/>
      <c r="N321" s="232"/>
      <c r="O321" s="233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  <c r="AA321" s="232"/>
      <c r="AB321" s="234"/>
      <c r="AC321" s="234"/>
      <c r="AD321" s="234"/>
      <c r="AE321" s="232"/>
      <c r="AF321" s="232"/>
      <c r="AG321" s="294"/>
      <c r="AH321" s="294"/>
      <c r="AI321" s="232"/>
      <c r="AJ321" s="232"/>
      <c r="AK321" s="232"/>
      <c r="AL321" s="232"/>
      <c r="AM321" s="232"/>
      <c r="AN321" s="232"/>
      <c r="AO321" s="232"/>
      <c r="AP321" s="234"/>
      <c r="AQ321" s="232"/>
      <c r="AR321" s="232"/>
      <c r="AS321" s="232"/>
      <c r="AT321" s="232"/>
      <c r="AU321" s="233"/>
      <c r="AV321" s="232"/>
      <c r="AW321" s="232"/>
      <c r="AX321" s="233"/>
      <c r="AY321" s="233"/>
      <c r="AZ321" s="232"/>
      <c r="BA321" s="232"/>
      <c r="BB321" s="232"/>
      <c r="BC321" s="232"/>
      <c r="BD321" s="232"/>
      <c r="BE321" s="232"/>
      <c r="BF321" s="232"/>
      <c r="BG321" s="232"/>
      <c r="BH321" s="232"/>
      <c r="BI321" s="232"/>
      <c r="BJ321" s="232"/>
      <c r="BK321" s="233"/>
      <c r="BL321" s="232"/>
      <c r="BM321" s="232"/>
      <c r="BN321" s="232"/>
      <c r="BO321" s="232"/>
      <c r="BP321" s="232"/>
      <c r="BQ321" s="232"/>
      <c r="BR321" s="232"/>
      <c r="BS321" s="232"/>
      <c r="BT321" s="232"/>
      <c r="BU321" s="232"/>
      <c r="BV321" s="232"/>
      <c r="BW321" s="232"/>
      <c r="BX321" s="232"/>
      <c r="BY321" s="232"/>
    </row>
    <row r="322" spans="1:77" ht="35.25" customHeight="1" x14ac:dyDescent="0.25">
      <c r="A322" s="210"/>
      <c r="B322" s="232"/>
      <c r="C322" s="232"/>
      <c r="D322" s="232"/>
      <c r="E322" s="232"/>
      <c r="F322" s="234"/>
      <c r="G322" s="232"/>
      <c r="H322" s="232"/>
      <c r="I322" s="232"/>
      <c r="J322" s="234"/>
      <c r="K322" s="234"/>
      <c r="L322" s="234"/>
      <c r="M322" s="232"/>
      <c r="N322" s="232"/>
      <c r="O322" s="233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  <c r="AA322" s="232"/>
      <c r="AB322" s="234"/>
      <c r="AC322" s="234"/>
      <c r="AD322" s="234"/>
      <c r="AE322" s="232"/>
      <c r="AF322" s="232"/>
      <c r="AG322" s="294"/>
      <c r="AH322" s="294"/>
      <c r="AI322" s="232"/>
      <c r="AJ322" s="232"/>
      <c r="AK322" s="232"/>
      <c r="AL322" s="232"/>
      <c r="AM322" s="232"/>
      <c r="AN322" s="232"/>
      <c r="AO322" s="232"/>
      <c r="AP322" s="234"/>
      <c r="AQ322" s="232"/>
      <c r="AR322" s="232"/>
      <c r="AS322" s="232"/>
      <c r="AT322" s="232"/>
      <c r="AU322" s="233"/>
      <c r="AV322" s="232"/>
      <c r="AW322" s="232"/>
      <c r="AX322" s="233"/>
      <c r="AY322" s="233"/>
      <c r="AZ322" s="232"/>
      <c r="BA322" s="232"/>
      <c r="BB322" s="232"/>
      <c r="BC322" s="232"/>
      <c r="BD322" s="232"/>
      <c r="BE322" s="232"/>
      <c r="BF322" s="232"/>
      <c r="BG322" s="232"/>
      <c r="BH322" s="232"/>
      <c r="BI322" s="232"/>
      <c r="BJ322" s="232"/>
      <c r="BK322" s="233"/>
      <c r="BL322" s="232"/>
      <c r="BM322" s="232"/>
      <c r="BN322" s="232"/>
      <c r="BO322" s="232"/>
      <c r="BP322" s="232"/>
      <c r="BQ322" s="232"/>
      <c r="BR322" s="232"/>
      <c r="BS322" s="232"/>
      <c r="BT322" s="232"/>
      <c r="BU322" s="232"/>
      <c r="BV322" s="232"/>
      <c r="BW322" s="232"/>
      <c r="BX322" s="232"/>
      <c r="BY322" s="232"/>
    </row>
    <row r="323" spans="1:77" ht="35.25" customHeight="1" x14ac:dyDescent="0.25">
      <c r="A323" s="210"/>
      <c r="B323" s="232"/>
      <c r="C323" s="232"/>
      <c r="D323" s="232"/>
      <c r="E323" s="232"/>
      <c r="F323" s="234"/>
      <c r="G323" s="232"/>
      <c r="H323" s="232"/>
      <c r="I323" s="232"/>
      <c r="J323" s="234"/>
      <c r="K323" s="234"/>
      <c r="L323" s="234"/>
      <c r="M323" s="232"/>
      <c r="N323" s="232"/>
      <c r="O323" s="233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  <c r="AA323" s="232"/>
      <c r="AB323" s="234"/>
      <c r="AC323" s="234"/>
      <c r="AD323" s="234"/>
      <c r="AE323" s="232"/>
      <c r="AF323" s="232"/>
      <c r="AG323" s="294"/>
      <c r="AH323" s="294"/>
      <c r="AI323" s="232"/>
      <c r="AJ323" s="232"/>
      <c r="AK323" s="232"/>
      <c r="AL323" s="232"/>
      <c r="AM323" s="232"/>
      <c r="AN323" s="232"/>
      <c r="AO323" s="232"/>
      <c r="AP323" s="234"/>
      <c r="AQ323" s="232"/>
      <c r="AR323" s="232"/>
      <c r="AS323" s="232"/>
      <c r="AT323" s="232"/>
      <c r="AU323" s="233"/>
      <c r="AV323" s="232"/>
      <c r="AW323" s="232"/>
      <c r="AX323" s="233"/>
      <c r="AY323" s="233"/>
      <c r="AZ323" s="232"/>
      <c r="BA323" s="232"/>
      <c r="BB323" s="232"/>
      <c r="BC323" s="232"/>
      <c r="BD323" s="232"/>
      <c r="BE323" s="232"/>
      <c r="BF323" s="232"/>
      <c r="BG323" s="232"/>
      <c r="BH323" s="232"/>
      <c r="BI323" s="232"/>
      <c r="BJ323" s="232"/>
      <c r="BK323" s="233"/>
      <c r="BL323" s="232"/>
      <c r="BM323" s="232"/>
      <c r="BN323" s="232"/>
      <c r="BO323" s="232"/>
      <c r="BP323" s="232"/>
      <c r="BQ323" s="232"/>
      <c r="BR323" s="232"/>
      <c r="BS323" s="232"/>
      <c r="BT323" s="232"/>
      <c r="BU323" s="232"/>
      <c r="BV323" s="232"/>
      <c r="BW323" s="232"/>
      <c r="BX323" s="232"/>
      <c r="BY323" s="232"/>
    </row>
    <row r="324" spans="1:77" ht="35.25" customHeight="1" x14ac:dyDescent="0.25">
      <c r="A324" s="210"/>
      <c r="B324" s="232"/>
      <c r="C324" s="232"/>
      <c r="D324" s="232"/>
      <c r="E324" s="232"/>
      <c r="F324" s="234"/>
      <c r="G324" s="232"/>
      <c r="H324" s="232"/>
      <c r="I324" s="232"/>
      <c r="J324" s="234"/>
      <c r="K324" s="234"/>
      <c r="L324" s="234"/>
      <c r="M324" s="232"/>
      <c r="N324" s="232"/>
      <c r="O324" s="233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  <c r="AA324" s="232"/>
      <c r="AB324" s="234"/>
      <c r="AC324" s="234"/>
      <c r="AD324" s="234"/>
      <c r="AE324" s="232"/>
      <c r="AF324" s="232"/>
      <c r="AG324" s="294"/>
      <c r="AH324" s="294"/>
      <c r="AI324" s="232"/>
      <c r="AJ324" s="232"/>
      <c r="AK324" s="232"/>
      <c r="AL324" s="232"/>
      <c r="AM324" s="232"/>
      <c r="AN324" s="232"/>
      <c r="AO324" s="232"/>
      <c r="AP324" s="234"/>
      <c r="AQ324" s="232"/>
      <c r="AR324" s="232"/>
      <c r="AS324" s="232"/>
      <c r="AT324" s="232"/>
      <c r="AU324" s="233"/>
      <c r="AV324" s="232"/>
      <c r="AW324" s="232"/>
      <c r="AX324" s="233"/>
      <c r="AY324" s="233"/>
      <c r="AZ324" s="232"/>
      <c r="BA324" s="232"/>
      <c r="BB324" s="232"/>
      <c r="BC324" s="232"/>
      <c r="BD324" s="232"/>
      <c r="BE324" s="232"/>
      <c r="BF324" s="232"/>
      <c r="BG324" s="232"/>
      <c r="BH324" s="232"/>
      <c r="BI324" s="232"/>
      <c r="BJ324" s="232"/>
      <c r="BK324" s="233"/>
      <c r="BL324" s="232"/>
      <c r="BM324" s="232"/>
      <c r="BN324" s="232"/>
      <c r="BO324" s="232"/>
      <c r="BP324" s="232"/>
      <c r="BQ324" s="232"/>
      <c r="BR324" s="232"/>
      <c r="BS324" s="232"/>
      <c r="BT324" s="232"/>
      <c r="BU324" s="232"/>
      <c r="BV324" s="232"/>
      <c r="BW324" s="232"/>
      <c r="BX324" s="232"/>
      <c r="BY324" s="232"/>
    </row>
    <row r="325" spans="1:77" ht="35.25" customHeight="1" x14ac:dyDescent="0.25">
      <c r="A325" s="210"/>
      <c r="B325" s="232"/>
      <c r="C325" s="232"/>
      <c r="D325" s="232"/>
      <c r="E325" s="232"/>
      <c r="F325" s="234"/>
      <c r="G325" s="232"/>
      <c r="H325" s="232"/>
      <c r="I325" s="232"/>
      <c r="J325" s="234"/>
      <c r="K325" s="234"/>
      <c r="L325" s="234"/>
      <c r="M325" s="232"/>
      <c r="N325" s="232"/>
      <c r="O325" s="233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  <c r="AA325" s="232"/>
      <c r="AB325" s="234"/>
      <c r="AC325" s="234"/>
      <c r="AD325" s="234"/>
      <c r="AE325" s="232"/>
      <c r="AF325" s="232"/>
      <c r="AG325" s="294"/>
      <c r="AH325" s="294"/>
      <c r="AI325" s="232"/>
      <c r="AJ325" s="232"/>
      <c r="AK325" s="232"/>
      <c r="AL325" s="232"/>
      <c r="AM325" s="232"/>
      <c r="AN325" s="232"/>
      <c r="AO325" s="232"/>
      <c r="AP325" s="234"/>
      <c r="AQ325" s="232"/>
      <c r="AR325" s="232"/>
      <c r="AS325" s="232"/>
      <c r="AT325" s="232"/>
      <c r="AU325" s="233"/>
      <c r="AV325" s="232"/>
      <c r="AW325" s="232"/>
      <c r="AX325" s="233"/>
      <c r="AY325" s="233"/>
      <c r="AZ325" s="232"/>
      <c r="BA325" s="232"/>
      <c r="BB325" s="232"/>
      <c r="BC325" s="232"/>
      <c r="BD325" s="232"/>
      <c r="BE325" s="232"/>
      <c r="BF325" s="232"/>
      <c r="BG325" s="232"/>
      <c r="BH325" s="232"/>
      <c r="BI325" s="232"/>
      <c r="BJ325" s="232"/>
      <c r="BK325" s="233"/>
      <c r="BL325" s="232"/>
      <c r="BM325" s="232"/>
      <c r="BN325" s="232"/>
      <c r="BO325" s="232"/>
      <c r="BP325" s="232"/>
      <c r="BQ325" s="232"/>
      <c r="BR325" s="232"/>
      <c r="BS325" s="232"/>
      <c r="BT325" s="232"/>
      <c r="BU325" s="232"/>
      <c r="BV325" s="232"/>
      <c r="BW325" s="232"/>
      <c r="BX325" s="232"/>
      <c r="BY325" s="232"/>
    </row>
    <row r="326" spans="1:77" ht="35.25" customHeight="1" x14ac:dyDescent="0.25">
      <c r="A326" s="210"/>
      <c r="B326" s="232"/>
      <c r="C326" s="232"/>
      <c r="D326" s="232"/>
      <c r="E326" s="232"/>
      <c r="F326" s="234"/>
      <c r="G326" s="232"/>
      <c r="H326" s="232"/>
      <c r="I326" s="232"/>
      <c r="J326" s="234"/>
      <c r="K326" s="234"/>
      <c r="L326" s="234"/>
      <c r="M326" s="232"/>
      <c r="N326" s="232"/>
      <c r="O326" s="233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  <c r="AA326" s="232"/>
      <c r="AB326" s="234"/>
      <c r="AC326" s="234"/>
      <c r="AD326" s="234"/>
      <c r="AE326" s="232"/>
      <c r="AF326" s="232"/>
      <c r="AG326" s="294"/>
      <c r="AH326" s="294"/>
      <c r="AI326" s="232"/>
      <c r="AJ326" s="232"/>
      <c r="AK326" s="232"/>
      <c r="AL326" s="232"/>
      <c r="AM326" s="232"/>
      <c r="AN326" s="232"/>
      <c r="AO326" s="232"/>
      <c r="AP326" s="234"/>
      <c r="AQ326" s="232"/>
      <c r="AR326" s="232"/>
      <c r="AS326" s="232"/>
      <c r="AT326" s="232"/>
      <c r="AU326" s="233"/>
      <c r="AV326" s="232"/>
      <c r="AW326" s="232"/>
      <c r="AX326" s="233"/>
      <c r="AY326" s="233"/>
      <c r="AZ326" s="232"/>
      <c r="BA326" s="232"/>
      <c r="BB326" s="232"/>
      <c r="BC326" s="232"/>
      <c r="BD326" s="232"/>
      <c r="BE326" s="232"/>
      <c r="BF326" s="232"/>
      <c r="BG326" s="232"/>
      <c r="BH326" s="232"/>
      <c r="BI326" s="232"/>
      <c r="BJ326" s="232"/>
      <c r="BK326" s="233"/>
      <c r="BL326" s="232"/>
      <c r="BM326" s="232"/>
      <c r="BN326" s="232"/>
      <c r="BO326" s="232"/>
      <c r="BP326" s="232"/>
      <c r="BQ326" s="232"/>
      <c r="BR326" s="232"/>
      <c r="BS326" s="232"/>
      <c r="BT326" s="232"/>
      <c r="BU326" s="232"/>
      <c r="BV326" s="232"/>
      <c r="BW326" s="232"/>
      <c r="BX326" s="232"/>
      <c r="BY326" s="232"/>
    </row>
    <row r="327" spans="1:77" ht="35.25" customHeight="1" x14ac:dyDescent="0.25">
      <c r="A327" s="210"/>
      <c r="B327" s="232"/>
      <c r="C327" s="232"/>
      <c r="D327" s="232"/>
      <c r="E327" s="232"/>
      <c r="F327" s="234"/>
      <c r="G327" s="232"/>
      <c r="H327" s="232"/>
      <c r="I327" s="232"/>
      <c r="J327" s="234"/>
      <c r="K327" s="234"/>
      <c r="L327" s="234"/>
      <c r="M327" s="232"/>
      <c r="N327" s="232"/>
      <c r="O327" s="233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  <c r="AA327" s="232"/>
      <c r="AB327" s="234"/>
      <c r="AC327" s="234"/>
      <c r="AD327" s="234"/>
      <c r="AE327" s="232"/>
      <c r="AF327" s="232"/>
      <c r="AG327" s="294"/>
      <c r="AH327" s="294"/>
      <c r="AI327" s="232"/>
      <c r="AJ327" s="232"/>
      <c r="AK327" s="232"/>
      <c r="AL327" s="232"/>
      <c r="AM327" s="232"/>
      <c r="AN327" s="232"/>
      <c r="AO327" s="232"/>
      <c r="AP327" s="234"/>
      <c r="AQ327" s="232"/>
      <c r="AR327" s="232"/>
      <c r="AS327" s="232"/>
      <c r="AT327" s="232"/>
      <c r="AU327" s="233"/>
      <c r="AV327" s="232"/>
      <c r="AW327" s="232"/>
      <c r="AX327" s="233"/>
      <c r="AY327" s="233"/>
      <c r="AZ327" s="232"/>
      <c r="BA327" s="232"/>
      <c r="BB327" s="232"/>
      <c r="BC327" s="232"/>
      <c r="BD327" s="232"/>
      <c r="BE327" s="232"/>
      <c r="BF327" s="232"/>
      <c r="BG327" s="232"/>
      <c r="BH327" s="232"/>
      <c r="BI327" s="232"/>
      <c r="BJ327" s="232"/>
      <c r="BK327" s="233"/>
      <c r="BL327" s="232"/>
      <c r="BM327" s="232"/>
      <c r="BN327" s="232"/>
      <c r="BO327" s="232"/>
      <c r="BP327" s="232"/>
      <c r="BQ327" s="232"/>
      <c r="BR327" s="232"/>
      <c r="BS327" s="232"/>
      <c r="BT327" s="232"/>
      <c r="BU327" s="232"/>
      <c r="BV327" s="232"/>
      <c r="BW327" s="232"/>
      <c r="BX327" s="232"/>
      <c r="BY327" s="232"/>
    </row>
    <row r="328" spans="1:77" ht="35.25" customHeight="1" x14ac:dyDescent="0.25">
      <c r="A328" s="210"/>
      <c r="B328" s="232"/>
      <c r="C328" s="232"/>
      <c r="D328" s="232"/>
      <c r="E328" s="232"/>
      <c r="F328" s="234"/>
      <c r="G328" s="232"/>
      <c r="H328" s="232"/>
      <c r="I328" s="232"/>
      <c r="J328" s="234"/>
      <c r="K328" s="234"/>
      <c r="L328" s="234"/>
      <c r="M328" s="232"/>
      <c r="N328" s="232"/>
      <c r="O328" s="233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  <c r="AA328" s="232"/>
      <c r="AB328" s="234"/>
      <c r="AC328" s="234"/>
      <c r="AD328" s="234"/>
      <c r="AE328" s="232"/>
      <c r="AF328" s="232"/>
      <c r="AG328" s="294"/>
      <c r="AH328" s="294"/>
      <c r="AI328" s="232"/>
      <c r="AJ328" s="232"/>
      <c r="AK328" s="232"/>
      <c r="AL328" s="232"/>
      <c r="AM328" s="232"/>
      <c r="AN328" s="232"/>
      <c r="AO328" s="232"/>
      <c r="AP328" s="234"/>
      <c r="AQ328" s="232"/>
      <c r="AR328" s="232"/>
      <c r="AS328" s="232"/>
      <c r="AT328" s="232"/>
      <c r="AU328" s="233"/>
      <c r="AV328" s="232"/>
      <c r="AW328" s="232"/>
      <c r="AX328" s="233"/>
      <c r="AY328" s="233"/>
      <c r="AZ328" s="232"/>
      <c r="BA328" s="232"/>
      <c r="BB328" s="232"/>
      <c r="BC328" s="232"/>
      <c r="BD328" s="232"/>
      <c r="BE328" s="232"/>
      <c r="BF328" s="232"/>
      <c r="BG328" s="232"/>
      <c r="BH328" s="232"/>
      <c r="BI328" s="232"/>
      <c r="BJ328" s="232"/>
      <c r="BK328" s="233"/>
      <c r="BL328" s="232"/>
      <c r="BM328" s="232"/>
      <c r="BN328" s="232"/>
      <c r="BO328" s="232"/>
      <c r="BP328" s="232"/>
      <c r="BQ328" s="232"/>
      <c r="BR328" s="232"/>
      <c r="BS328" s="232"/>
      <c r="BT328" s="232"/>
      <c r="BU328" s="232"/>
      <c r="BV328" s="232"/>
      <c r="BW328" s="232"/>
      <c r="BX328" s="232"/>
      <c r="BY328" s="232"/>
    </row>
    <row r="329" spans="1:77" ht="35.25" customHeight="1" x14ac:dyDescent="0.25">
      <c r="A329" s="210"/>
      <c r="B329" s="232"/>
      <c r="C329" s="232"/>
      <c r="D329" s="232"/>
      <c r="E329" s="232"/>
      <c r="F329" s="234"/>
      <c r="G329" s="232"/>
      <c r="H329" s="232"/>
      <c r="I329" s="232"/>
      <c r="J329" s="234"/>
      <c r="K329" s="234"/>
      <c r="L329" s="234"/>
      <c r="M329" s="232"/>
      <c r="N329" s="232"/>
      <c r="O329" s="233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  <c r="AA329" s="232"/>
      <c r="AB329" s="234"/>
      <c r="AC329" s="234"/>
      <c r="AD329" s="234"/>
      <c r="AE329" s="232"/>
      <c r="AF329" s="232"/>
      <c r="AG329" s="294"/>
      <c r="AH329" s="294"/>
      <c r="AI329" s="232"/>
      <c r="AJ329" s="232"/>
      <c r="AK329" s="232"/>
      <c r="AL329" s="232"/>
      <c r="AM329" s="232"/>
      <c r="AN329" s="232"/>
      <c r="AO329" s="232"/>
      <c r="AP329" s="234"/>
      <c r="AQ329" s="232"/>
      <c r="AR329" s="232"/>
      <c r="AS329" s="232"/>
      <c r="AT329" s="232"/>
      <c r="AU329" s="233"/>
      <c r="AV329" s="232"/>
      <c r="AW329" s="232"/>
      <c r="AX329" s="233"/>
      <c r="AY329" s="233"/>
      <c r="AZ329" s="232"/>
      <c r="BA329" s="232"/>
      <c r="BB329" s="232"/>
      <c r="BC329" s="232"/>
      <c r="BD329" s="232"/>
      <c r="BE329" s="232"/>
      <c r="BF329" s="232"/>
      <c r="BG329" s="232"/>
      <c r="BH329" s="232"/>
      <c r="BI329" s="232"/>
      <c r="BJ329" s="232"/>
      <c r="BK329" s="233"/>
      <c r="BL329" s="232"/>
      <c r="BM329" s="232"/>
      <c r="BN329" s="232"/>
      <c r="BO329" s="232"/>
      <c r="BP329" s="232"/>
      <c r="BQ329" s="232"/>
      <c r="BR329" s="232"/>
      <c r="BS329" s="232"/>
      <c r="BT329" s="232"/>
      <c r="BU329" s="232"/>
      <c r="BV329" s="232"/>
      <c r="BW329" s="232"/>
      <c r="BX329" s="232"/>
      <c r="BY329" s="232"/>
    </row>
    <row r="330" spans="1:77" ht="35.25" customHeight="1" x14ac:dyDescent="0.25">
      <c r="A330" s="210"/>
      <c r="B330" s="232"/>
      <c r="C330" s="232"/>
      <c r="D330" s="232"/>
      <c r="E330" s="232"/>
      <c r="F330" s="234"/>
      <c r="G330" s="232"/>
      <c r="H330" s="232"/>
      <c r="I330" s="232"/>
      <c r="J330" s="234"/>
      <c r="K330" s="234"/>
      <c r="L330" s="234"/>
      <c r="M330" s="232"/>
      <c r="N330" s="232"/>
      <c r="O330" s="233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  <c r="AA330" s="232"/>
      <c r="AB330" s="234"/>
      <c r="AC330" s="234"/>
      <c r="AD330" s="234"/>
      <c r="AE330" s="232"/>
      <c r="AF330" s="232"/>
      <c r="AG330" s="294"/>
      <c r="AH330" s="294"/>
      <c r="AI330" s="232"/>
      <c r="AJ330" s="232"/>
      <c r="AK330" s="232"/>
      <c r="AL330" s="232"/>
      <c r="AM330" s="232"/>
      <c r="AN330" s="232"/>
      <c r="AO330" s="232"/>
      <c r="AP330" s="234"/>
      <c r="AQ330" s="232"/>
      <c r="AR330" s="232"/>
      <c r="AS330" s="232"/>
      <c r="AT330" s="232"/>
      <c r="AU330" s="233"/>
      <c r="AV330" s="232"/>
      <c r="AW330" s="232"/>
      <c r="AX330" s="233"/>
      <c r="AY330" s="233"/>
      <c r="AZ330" s="232"/>
      <c r="BA330" s="232"/>
      <c r="BB330" s="232"/>
      <c r="BC330" s="232"/>
      <c r="BD330" s="232"/>
      <c r="BE330" s="232"/>
      <c r="BF330" s="232"/>
      <c r="BG330" s="232"/>
      <c r="BH330" s="232"/>
      <c r="BI330" s="232"/>
      <c r="BJ330" s="232"/>
      <c r="BK330" s="233"/>
      <c r="BL330" s="232"/>
      <c r="BM330" s="232"/>
      <c r="BN330" s="232"/>
      <c r="BO330" s="232"/>
      <c r="BP330" s="232"/>
      <c r="BQ330" s="232"/>
      <c r="BR330" s="232"/>
      <c r="BS330" s="232"/>
      <c r="BT330" s="232"/>
      <c r="BU330" s="232"/>
      <c r="BV330" s="232"/>
      <c r="BW330" s="232"/>
      <c r="BX330" s="232"/>
      <c r="BY330" s="232"/>
    </row>
    <row r="331" spans="1:77" ht="35.25" customHeight="1" x14ac:dyDescent="0.25">
      <c r="A331" s="210"/>
      <c r="B331" s="232"/>
      <c r="C331" s="232"/>
      <c r="D331" s="232"/>
      <c r="E331" s="232"/>
      <c r="F331" s="234"/>
      <c r="G331" s="232"/>
      <c r="H331" s="232"/>
      <c r="I331" s="232"/>
      <c r="J331" s="234"/>
      <c r="K331" s="234"/>
      <c r="L331" s="234"/>
      <c r="M331" s="232"/>
      <c r="N331" s="232"/>
      <c r="O331" s="233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  <c r="AA331" s="232"/>
      <c r="AB331" s="234"/>
      <c r="AC331" s="234"/>
      <c r="AD331" s="234"/>
      <c r="AE331" s="232"/>
      <c r="AF331" s="232"/>
      <c r="AG331" s="294"/>
      <c r="AH331" s="294"/>
      <c r="AI331" s="232"/>
      <c r="AJ331" s="232"/>
      <c r="AK331" s="232"/>
      <c r="AL331" s="232"/>
      <c r="AM331" s="232"/>
      <c r="AN331" s="232"/>
      <c r="AO331" s="232"/>
      <c r="AP331" s="234"/>
      <c r="AQ331" s="232"/>
      <c r="AR331" s="232"/>
      <c r="AS331" s="232"/>
      <c r="AT331" s="232"/>
      <c r="AU331" s="233"/>
      <c r="AV331" s="232"/>
      <c r="AW331" s="232"/>
      <c r="AX331" s="233"/>
      <c r="AY331" s="233"/>
      <c r="AZ331" s="232"/>
      <c r="BA331" s="232"/>
      <c r="BB331" s="232"/>
      <c r="BC331" s="232"/>
      <c r="BD331" s="232"/>
      <c r="BE331" s="232"/>
      <c r="BF331" s="232"/>
      <c r="BG331" s="232"/>
      <c r="BH331" s="232"/>
      <c r="BI331" s="232"/>
      <c r="BJ331" s="232"/>
      <c r="BK331" s="233"/>
      <c r="BL331" s="232"/>
      <c r="BM331" s="232"/>
      <c r="BN331" s="232"/>
      <c r="BO331" s="232"/>
      <c r="BP331" s="232"/>
      <c r="BQ331" s="232"/>
      <c r="BR331" s="232"/>
      <c r="BS331" s="232"/>
      <c r="BT331" s="232"/>
      <c r="BU331" s="232"/>
      <c r="BV331" s="232"/>
      <c r="BW331" s="232"/>
      <c r="BX331" s="232"/>
      <c r="BY331" s="232"/>
    </row>
    <row r="332" spans="1:77" ht="35.25" customHeight="1" x14ac:dyDescent="0.25">
      <c r="A332" s="210"/>
      <c r="B332" s="232"/>
      <c r="C332" s="232"/>
      <c r="D332" s="232"/>
      <c r="E332" s="232"/>
      <c r="F332" s="234"/>
      <c r="G332" s="232"/>
      <c r="H332" s="232"/>
      <c r="I332" s="232"/>
      <c r="J332" s="234"/>
      <c r="K332" s="234"/>
      <c r="L332" s="234"/>
      <c r="M332" s="232"/>
      <c r="N332" s="232"/>
      <c r="O332" s="233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  <c r="AA332" s="232"/>
      <c r="AB332" s="234"/>
      <c r="AC332" s="234"/>
      <c r="AD332" s="234"/>
      <c r="AE332" s="232"/>
      <c r="AF332" s="232"/>
      <c r="AG332" s="294"/>
      <c r="AH332" s="294"/>
      <c r="AI332" s="232"/>
      <c r="AJ332" s="232"/>
      <c r="AK332" s="232"/>
      <c r="AL332" s="232"/>
      <c r="AM332" s="232"/>
      <c r="AN332" s="232"/>
      <c r="AO332" s="232"/>
      <c r="AP332" s="234"/>
      <c r="AQ332" s="232"/>
      <c r="AR332" s="232"/>
      <c r="AS332" s="232"/>
      <c r="AT332" s="232"/>
      <c r="AU332" s="233"/>
      <c r="AV332" s="232"/>
      <c r="AW332" s="232"/>
      <c r="AX332" s="233"/>
      <c r="AY332" s="233"/>
      <c r="AZ332" s="232"/>
      <c r="BA332" s="232"/>
      <c r="BB332" s="232"/>
      <c r="BC332" s="232"/>
      <c r="BD332" s="232"/>
      <c r="BE332" s="232"/>
      <c r="BF332" s="232"/>
      <c r="BG332" s="232"/>
      <c r="BH332" s="232"/>
      <c r="BI332" s="232"/>
      <c r="BJ332" s="232"/>
      <c r="BK332" s="233"/>
      <c r="BL332" s="232"/>
      <c r="BM332" s="232"/>
      <c r="BN332" s="232"/>
      <c r="BO332" s="232"/>
      <c r="BP332" s="232"/>
      <c r="BQ332" s="232"/>
      <c r="BR332" s="232"/>
      <c r="BS332" s="232"/>
      <c r="BT332" s="232"/>
      <c r="BU332" s="232"/>
      <c r="BV332" s="232"/>
      <c r="BW332" s="232"/>
      <c r="BX332" s="232"/>
      <c r="BY332" s="232"/>
    </row>
    <row r="333" spans="1:77" ht="35.25" customHeight="1" x14ac:dyDescent="0.25">
      <c r="A333" s="210"/>
      <c r="B333" s="232"/>
      <c r="C333" s="232"/>
      <c r="D333" s="232"/>
      <c r="E333" s="232"/>
      <c r="F333" s="234"/>
      <c r="G333" s="232"/>
      <c r="H333" s="232"/>
      <c r="I333" s="232"/>
      <c r="J333" s="234"/>
      <c r="K333" s="234"/>
      <c r="L333" s="234"/>
      <c r="M333" s="232"/>
      <c r="N333" s="232"/>
      <c r="O333" s="233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  <c r="AA333" s="232"/>
      <c r="AB333" s="234"/>
      <c r="AC333" s="234"/>
      <c r="AD333" s="234"/>
      <c r="AE333" s="232"/>
      <c r="AF333" s="232"/>
      <c r="AG333" s="294"/>
      <c r="AH333" s="294"/>
      <c r="AI333" s="232"/>
      <c r="AJ333" s="232"/>
      <c r="AK333" s="232"/>
      <c r="AL333" s="232"/>
      <c r="AM333" s="232"/>
      <c r="AN333" s="232"/>
      <c r="AO333" s="232"/>
      <c r="AP333" s="234"/>
      <c r="AQ333" s="232"/>
      <c r="AR333" s="232"/>
      <c r="AS333" s="232"/>
      <c r="AT333" s="232"/>
      <c r="AU333" s="233"/>
      <c r="AV333" s="232"/>
      <c r="AW333" s="232"/>
      <c r="AX333" s="233"/>
      <c r="AY333" s="233"/>
      <c r="AZ333" s="232"/>
      <c r="BA333" s="232"/>
      <c r="BB333" s="232"/>
      <c r="BC333" s="232"/>
      <c r="BD333" s="232"/>
      <c r="BE333" s="232"/>
      <c r="BF333" s="232"/>
      <c r="BG333" s="232"/>
      <c r="BH333" s="232"/>
      <c r="BI333" s="232"/>
      <c r="BJ333" s="232"/>
      <c r="BK333" s="233"/>
      <c r="BL333" s="232"/>
      <c r="BM333" s="232"/>
      <c r="BN333" s="232"/>
      <c r="BO333" s="232"/>
      <c r="BP333" s="232"/>
      <c r="BQ333" s="232"/>
      <c r="BR333" s="232"/>
      <c r="BS333" s="232"/>
      <c r="BT333" s="232"/>
      <c r="BU333" s="232"/>
      <c r="BV333" s="232"/>
      <c r="BW333" s="232"/>
      <c r="BX333" s="232"/>
      <c r="BY333" s="232"/>
    </row>
    <row r="334" spans="1:77" ht="35.25" customHeight="1" x14ac:dyDescent="0.25">
      <c r="A334" s="210"/>
      <c r="B334" s="232"/>
      <c r="C334" s="232"/>
      <c r="D334" s="232"/>
      <c r="E334" s="232"/>
      <c r="F334" s="234"/>
      <c r="G334" s="232"/>
      <c r="H334" s="232"/>
      <c r="I334" s="232"/>
      <c r="J334" s="234"/>
      <c r="K334" s="234"/>
      <c r="L334" s="234"/>
      <c r="M334" s="232"/>
      <c r="N334" s="232"/>
      <c r="O334" s="233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  <c r="AA334" s="232"/>
      <c r="AB334" s="234"/>
      <c r="AC334" s="234"/>
      <c r="AD334" s="234"/>
      <c r="AE334" s="232"/>
      <c r="AF334" s="232"/>
      <c r="AG334" s="294"/>
      <c r="AH334" s="294"/>
      <c r="AI334" s="232"/>
      <c r="AJ334" s="232"/>
      <c r="AK334" s="232"/>
      <c r="AL334" s="232"/>
      <c r="AM334" s="232"/>
      <c r="AN334" s="232"/>
      <c r="AO334" s="232"/>
      <c r="AP334" s="234"/>
      <c r="AQ334" s="232"/>
      <c r="AR334" s="232"/>
      <c r="AS334" s="232"/>
      <c r="AT334" s="232"/>
      <c r="AU334" s="233"/>
      <c r="AV334" s="232"/>
      <c r="AW334" s="232"/>
      <c r="AX334" s="233"/>
      <c r="AY334" s="233"/>
      <c r="AZ334" s="232"/>
      <c r="BA334" s="232"/>
      <c r="BB334" s="232"/>
      <c r="BC334" s="232"/>
      <c r="BD334" s="232"/>
      <c r="BE334" s="232"/>
      <c r="BF334" s="232"/>
      <c r="BG334" s="232"/>
      <c r="BH334" s="232"/>
      <c r="BI334" s="232"/>
      <c r="BJ334" s="232"/>
      <c r="BK334" s="233"/>
      <c r="BL334" s="232"/>
      <c r="BM334" s="232"/>
      <c r="BN334" s="232"/>
      <c r="BO334" s="232"/>
      <c r="BP334" s="232"/>
      <c r="BQ334" s="232"/>
      <c r="BR334" s="232"/>
      <c r="BS334" s="232"/>
      <c r="BT334" s="232"/>
      <c r="BU334" s="232"/>
      <c r="BV334" s="232"/>
      <c r="BW334" s="232"/>
      <c r="BX334" s="232"/>
      <c r="BY334" s="232"/>
    </row>
    <row r="335" spans="1:77" ht="30" customHeight="1" x14ac:dyDescent="0.25">
      <c r="A335" s="210"/>
      <c r="B335" s="232"/>
      <c r="C335" s="232"/>
      <c r="D335" s="232"/>
      <c r="E335" s="232"/>
      <c r="F335" s="234"/>
      <c r="G335" s="232"/>
      <c r="H335" s="232"/>
      <c r="I335" s="232"/>
      <c r="J335" s="234"/>
      <c r="K335" s="234"/>
      <c r="L335" s="234"/>
      <c r="M335" s="232"/>
      <c r="N335" s="232"/>
      <c r="O335" s="233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  <c r="AA335" s="232"/>
      <c r="AB335" s="234"/>
      <c r="AC335" s="234"/>
      <c r="AD335" s="234"/>
      <c r="AE335" s="232"/>
      <c r="AF335" s="232"/>
      <c r="AG335" s="294"/>
      <c r="AH335" s="294"/>
      <c r="AI335" s="232"/>
      <c r="AJ335" s="232"/>
      <c r="AK335" s="232"/>
      <c r="AL335" s="232"/>
      <c r="AM335" s="232"/>
      <c r="AN335" s="232"/>
      <c r="AO335" s="232"/>
      <c r="AP335" s="234"/>
      <c r="AQ335" s="232"/>
      <c r="AR335" s="232"/>
      <c r="AS335" s="232"/>
      <c r="AT335" s="232"/>
      <c r="AU335" s="233"/>
      <c r="AV335" s="232"/>
      <c r="AW335" s="232"/>
      <c r="AX335" s="233"/>
      <c r="AY335" s="233"/>
      <c r="AZ335" s="232"/>
      <c r="BA335" s="232"/>
      <c r="BB335" s="232"/>
      <c r="BC335" s="232"/>
      <c r="BD335" s="232"/>
      <c r="BE335" s="232"/>
      <c r="BF335" s="232"/>
      <c r="BG335" s="232"/>
      <c r="BH335" s="232"/>
      <c r="BI335" s="232"/>
      <c r="BJ335" s="232"/>
      <c r="BK335" s="233"/>
      <c r="BL335" s="232"/>
      <c r="BM335" s="232"/>
      <c r="BN335" s="232"/>
      <c r="BO335" s="232"/>
      <c r="BP335" s="232"/>
      <c r="BQ335" s="232"/>
      <c r="BR335" s="232"/>
      <c r="BS335" s="232"/>
      <c r="BT335" s="232"/>
      <c r="BU335" s="232"/>
      <c r="BV335" s="232"/>
      <c r="BW335" s="232"/>
      <c r="BX335" s="232"/>
      <c r="BY335" s="232"/>
    </row>
    <row r="336" spans="1:77" ht="30" customHeight="1" x14ac:dyDescent="0.25">
      <c r="A336" s="210"/>
      <c r="B336" s="232"/>
      <c r="C336" s="232"/>
      <c r="D336" s="232"/>
      <c r="E336" s="232"/>
      <c r="F336" s="234"/>
      <c r="G336" s="232"/>
      <c r="H336" s="232"/>
      <c r="I336" s="232"/>
      <c r="J336" s="234"/>
      <c r="K336" s="234"/>
      <c r="L336" s="234"/>
      <c r="M336" s="232"/>
      <c r="N336" s="232"/>
      <c r="O336" s="233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  <c r="AA336" s="232"/>
      <c r="AB336" s="234"/>
      <c r="AC336" s="234"/>
      <c r="AD336" s="234"/>
      <c r="AE336" s="232"/>
      <c r="AF336" s="232"/>
      <c r="AG336" s="294"/>
      <c r="AH336" s="294"/>
      <c r="AI336" s="232"/>
      <c r="AJ336" s="232"/>
      <c r="AK336" s="232"/>
      <c r="AL336" s="232"/>
      <c r="AM336" s="232"/>
      <c r="AN336" s="232"/>
      <c r="AO336" s="232"/>
      <c r="AP336" s="234"/>
      <c r="AQ336" s="232"/>
      <c r="AR336" s="232"/>
      <c r="AS336" s="232"/>
      <c r="AT336" s="232"/>
      <c r="AU336" s="233"/>
      <c r="AV336" s="232"/>
      <c r="AW336" s="232"/>
      <c r="AX336" s="233"/>
      <c r="AY336" s="233"/>
      <c r="AZ336" s="232"/>
      <c r="BA336" s="232"/>
      <c r="BB336" s="232"/>
      <c r="BC336" s="232"/>
      <c r="BD336" s="232"/>
      <c r="BE336" s="232"/>
      <c r="BF336" s="232"/>
      <c r="BG336" s="232"/>
      <c r="BH336" s="232"/>
      <c r="BI336" s="232"/>
      <c r="BJ336" s="232"/>
      <c r="BK336" s="233"/>
      <c r="BL336" s="232"/>
      <c r="BM336" s="232"/>
      <c r="BN336" s="232"/>
      <c r="BO336" s="232"/>
      <c r="BP336" s="232"/>
      <c r="BQ336" s="232"/>
      <c r="BR336" s="232"/>
      <c r="BS336" s="232"/>
      <c r="BT336" s="232"/>
      <c r="BU336" s="232"/>
      <c r="BV336" s="232"/>
      <c r="BW336" s="232"/>
      <c r="BX336" s="232"/>
      <c r="BY336" s="232"/>
    </row>
    <row r="337" spans="1:77" ht="30" customHeight="1" x14ac:dyDescent="0.25">
      <c r="A337" s="210"/>
      <c r="B337" s="232"/>
      <c r="C337" s="232"/>
      <c r="D337" s="232"/>
      <c r="E337" s="232"/>
      <c r="F337" s="234"/>
      <c r="G337" s="232"/>
      <c r="H337" s="232"/>
      <c r="I337" s="232"/>
      <c r="J337" s="234"/>
      <c r="K337" s="234"/>
      <c r="L337" s="234"/>
      <c r="M337" s="232"/>
      <c r="N337" s="232"/>
      <c r="O337" s="233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  <c r="AA337" s="232"/>
      <c r="AB337" s="234"/>
      <c r="AC337" s="234"/>
      <c r="AD337" s="234"/>
      <c r="AE337" s="232"/>
      <c r="AF337" s="232"/>
      <c r="AG337" s="294"/>
      <c r="AH337" s="294"/>
      <c r="AI337" s="232"/>
      <c r="AJ337" s="232"/>
      <c r="AK337" s="232"/>
      <c r="AL337" s="232"/>
      <c r="AM337" s="232"/>
      <c r="AN337" s="232"/>
      <c r="AO337" s="232"/>
      <c r="AP337" s="234"/>
      <c r="AQ337" s="232"/>
      <c r="AR337" s="232"/>
      <c r="AS337" s="232"/>
      <c r="AT337" s="232"/>
      <c r="AU337" s="233"/>
      <c r="AV337" s="232"/>
      <c r="AW337" s="232"/>
      <c r="AX337" s="233"/>
      <c r="AY337" s="233"/>
      <c r="AZ337" s="232"/>
      <c r="BA337" s="232"/>
      <c r="BB337" s="232"/>
      <c r="BC337" s="232"/>
      <c r="BD337" s="232"/>
      <c r="BE337" s="232"/>
      <c r="BF337" s="232"/>
      <c r="BG337" s="232"/>
      <c r="BH337" s="232"/>
      <c r="BI337" s="232"/>
      <c r="BJ337" s="232"/>
      <c r="BK337" s="233"/>
      <c r="BL337" s="232"/>
      <c r="BM337" s="232"/>
      <c r="BN337" s="232"/>
      <c r="BO337" s="232"/>
      <c r="BP337" s="232"/>
      <c r="BQ337" s="232"/>
      <c r="BR337" s="232"/>
      <c r="BS337" s="232"/>
      <c r="BT337" s="232"/>
      <c r="BU337" s="232"/>
      <c r="BV337" s="232"/>
      <c r="BW337" s="232"/>
      <c r="BX337" s="232"/>
      <c r="BY337" s="232"/>
    </row>
    <row r="338" spans="1:77" ht="30" customHeight="1" x14ac:dyDescent="0.25">
      <c r="A338" s="210"/>
      <c r="B338" s="232"/>
      <c r="C338" s="232"/>
      <c r="D338" s="232"/>
      <c r="E338" s="232"/>
      <c r="F338" s="234"/>
      <c r="G338" s="232"/>
      <c r="H338" s="232"/>
      <c r="I338" s="232"/>
      <c r="J338" s="234"/>
      <c r="K338" s="234"/>
      <c r="L338" s="234"/>
      <c r="M338" s="232"/>
      <c r="N338" s="232"/>
      <c r="O338" s="233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  <c r="AA338" s="232"/>
      <c r="AB338" s="234"/>
      <c r="AC338" s="234"/>
      <c r="AD338" s="234"/>
      <c r="AE338" s="232"/>
      <c r="AF338" s="232"/>
      <c r="AG338" s="294"/>
      <c r="AH338" s="294"/>
      <c r="AI338" s="232"/>
      <c r="AJ338" s="232"/>
      <c r="AK338" s="232"/>
      <c r="AL338" s="232"/>
      <c r="AM338" s="232"/>
      <c r="AN338" s="232"/>
      <c r="AO338" s="232"/>
      <c r="AP338" s="234"/>
      <c r="AQ338" s="232"/>
      <c r="AR338" s="232"/>
      <c r="AS338" s="232"/>
      <c r="AT338" s="232"/>
      <c r="AU338" s="233"/>
      <c r="AV338" s="232"/>
      <c r="AW338" s="232"/>
      <c r="AX338" s="233"/>
      <c r="AY338" s="233"/>
      <c r="AZ338" s="232"/>
      <c r="BA338" s="232"/>
      <c r="BB338" s="232"/>
      <c r="BC338" s="232"/>
      <c r="BD338" s="232"/>
      <c r="BE338" s="232"/>
      <c r="BF338" s="232"/>
      <c r="BG338" s="232"/>
      <c r="BH338" s="232"/>
      <c r="BI338" s="232"/>
      <c r="BJ338" s="232"/>
      <c r="BK338" s="233"/>
      <c r="BL338" s="232"/>
      <c r="BM338" s="232"/>
      <c r="BN338" s="232"/>
      <c r="BO338" s="232"/>
      <c r="BP338" s="232"/>
      <c r="BQ338" s="232"/>
      <c r="BR338" s="232"/>
      <c r="BS338" s="232"/>
      <c r="BT338" s="232"/>
      <c r="BU338" s="232"/>
      <c r="BV338" s="232"/>
      <c r="BW338" s="232"/>
      <c r="BX338" s="232"/>
      <c r="BY338" s="232"/>
    </row>
    <row r="339" spans="1:77" ht="30" customHeight="1" x14ac:dyDescent="0.25">
      <c r="A339" s="210"/>
      <c r="B339" s="232"/>
      <c r="C339" s="232"/>
      <c r="D339" s="232"/>
      <c r="E339" s="232"/>
      <c r="F339" s="234"/>
      <c r="G339" s="232"/>
      <c r="H339" s="232"/>
      <c r="I339" s="232"/>
      <c r="J339" s="234"/>
      <c r="K339" s="234"/>
      <c r="L339" s="234"/>
      <c r="M339" s="232"/>
      <c r="N339" s="232"/>
      <c r="O339" s="233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32"/>
      <c r="AB339" s="234"/>
      <c r="AC339" s="234"/>
      <c r="AD339" s="234"/>
      <c r="AE339" s="232"/>
      <c r="AF339" s="232"/>
      <c r="AG339" s="294"/>
      <c r="AH339" s="294"/>
      <c r="AI339" s="232"/>
      <c r="AJ339" s="232"/>
      <c r="AK339" s="232"/>
      <c r="AL339" s="232"/>
      <c r="AM339" s="232"/>
      <c r="AN339" s="232"/>
      <c r="AO339" s="232"/>
      <c r="AP339" s="234"/>
      <c r="AQ339" s="232"/>
      <c r="AR339" s="232"/>
      <c r="AS339" s="232"/>
      <c r="AT339" s="232"/>
      <c r="AU339" s="233"/>
      <c r="AV339" s="232"/>
      <c r="AW339" s="232"/>
      <c r="AX339" s="233"/>
      <c r="AY339" s="233"/>
      <c r="AZ339" s="232"/>
      <c r="BA339" s="232"/>
      <c r="BB339" s="232"/>
      <c r="BC339" s="232"/>
      <c r="BD339" s="232"/>
      <c r="BE339" s="232"/>
      <c r="BF339" s="232"/>
      <c r="BG339" s="232"/>
      <c r="BH339" s="232"/>
      <c r="BI339" s="232"/>
      <c r="BJ339" s="232"/>
      <c r="BK339" s="233"/>
      <c r="BL339" s="232"/>
      <c r="BM339" s="232"/>
      <c r="BN339" s="232"/>
      <c r="BO339" s="232"/>
      <c r="BP339" s="232"/>
      <c r="BQ339" s="232"/>
      <c r="BR339" s="232"/>
      <c r="BS339" s="232"/>
      <c r="BT339" s="232"/>
      <c r="BU339" s="232"/>
      <c r="BV339" s="232"/>
      <c r="BW339" s="232"/>
      <c r="BX339" s="232"/>
      <c r="BY339" s="232"/>
    </row>
    <row r="340" spans="1:77" ht="30" customHeight="1" x14ac:dyDescent="0.25">
      <c r="A340" s="210"/>
      <c r="B340" s="232"/>
      <c r="C340" s="232"/>
      <c r="D340" s="232"/>
      <c r="E340" s="232"/>
      <c r="F340" s="234"/>
      <c r="G340" s="232"/>
      <c r="H340" s="232"/>
      <c r="I340" s="232"/>
      <c r="J340" s="234"/>
      <c r="K340" s="234"/>
      <c r="L340" s="234"/>
      <c r="M340" s="232"/>
      <c r="N340" s="232"/>
      <c r="O340" s="233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  <c r="AA340" s="232"/>
      <c r="AB340" s="234"/>
      <c r="AC340" s="234"/>
      <c r="AD340" s="234"/>
      <c r="AE340" s="232"/>
      <c r="AF340" s="232"/>
      <c r="AG340" s="294"/>
      <c r="AH340" s="294"/>
      <c r="AI340" s="232"/>
      <c r="AJ340" s="232"/>
      <c r="AK340" s="232"/>
      <c r="AL340" s="232"/>
      <c r="AM340" s="232"/>
      <c r="AN340" s="232"/>
      <c r="AO340" s="232"/>
      <c r="AP340" s="234"/>
      <c r="AQ340" s="232"/>
      <c r="AR340" s="232"/>
      <c r="AS340" s="232"/>
      <c r="AT340" s="232"/>
      <c r="AU340" s="233"/>
      <c r="AV340" s="232"/>
      <c r="AW340" s="232"/>
      <c r="AX340" s="233"/>
      <c r="AY340" s="233"/>
      <c r="AZ340" s="232"/>
      <c r="BA340" s="232"/>
      <c r="BB340" s="232"/>
      <c r="BC340" s="232"/>
      <c r="BD340" s="232"/>
      <c r="BE340" s="232"/>
      <c r="BF340" s="232"/>
      <c r="BG340" s="232"/>
      <c r="BH340" s="232"/>
      <c r="BI340" s="232"/>
      <c r="BJ340" s="232"/>
      <c r="BK340" s="233"/>
      <c r="BL340" s="232"/>
      <c r="BM340" s="232"/>
      <c r="BN340" s="232"/>
      <c r="BO340" s="232"/>
      <c r="BP340" s="232"/>
      <c r="BQ340" s="232"/>
      <c r="BR340" s="232"/>
      <c r="BS340" s="232"/>
      <c r="BT340" s="232"/>
      <c r="BU340" s="232"/>
      <c r="BV340" s="232"/>
      <c r="BW340" s="232"/>
      <c r="BX340" s="232"/>
      <c r="BY340" s="232"/>
    </row>
    <row r="341" spans="1:77" ht="24.75" customHeight="1" x14ac:dyDescent="0.25">
      <c r="A341" s="210"/>
      <c r="B341" s="232"/>
      <c r="C341" s="232"/>
      <c r="D341" s="232"/>
      <c r="E341" s="232"/>
      <c r="F341" s="234"/>
      <c r="G341" s="232"/>
      <c r="H341" s="232"/>
      <c r="I341" s="232"/>
      <c r="J341" s="234"/>
      <c r="K341" s="234"/>
      <c r="L341" s="234"/>
      <c r="M341" s="232"/>
      <c r="N341" s="232"/>
      <c r="O341" s="233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  <c r="AA341" s="232"/>
      <c r="AB341" s="234"/>
      <c r="AC341" s="234"/>
      <c r="AD341" s="234"/>
      <c r="AE341" s="232"/>
      <c r="AF341" s="232"/>
      <c r="AG341" s="294"/>
      <c r="AH341" s="294"/>
      <c r="AI341" s="232"/>
      <c r="AJ341" s="232"/>
      <c r="AK341" s="232"/>
      <c r="AL341" s="232"/>
      <c r="AM341" s="232"/>
      <c r="AN341" s="232"/>
      <c r="AO341" s="232"/>
      <c r="AP341" s="234"/>
      <c r="AQ341" s="232"/>
      <c r="AR341" s="232"/>
      <c r="AS341" s="232"/>
      <c r="AT341" s="232"/>
      <c r="AU341" s="233"/>
      <c r="AV341" s="232"/>
      <c r="AW341" s="232"/>
      <c r="AX341" s="233"/>
      <c r="AY341" s="233"/>
      <c r="AZ341" s="232"/>
      <c r="BA341" s="232"/>
      <c r="BB341" s="232"/>
      <c r="BC341" s="232"/>
      <c r="BD341" s="232"/>
      <c r="BE341" s="232"/>
      <c r="BF341" s="232"/>
      <c r="BG341" s="232"/>
      <c r="BH341" s="232"/>
      <c r="BI341" s="232"/>
      <c r="BJ341" s="232"/>
      <c r="BK341" s="233"/>
      <c r="BL341" s="232"/>
      <c r="BM341" s="232"/>
      <c r="BN341" s="232"/>
      <c r="BO341" s="232"/>
      <c r="BP341" s="232"/>
      <c r="BQ341" s="232"/>
      <c r="BR341" s="232"/>
      <c r="BS341" s="232"/>
      <c r="BT341" s="232"/>
      <c r="BU341" s="232"/>
      <c r="BV341" s="232"/>
      <c r="BW341" s="232"/>
      <c r="BX341" s="232"/>
      <c r="BY341" s="232"/>
    </row>
    <row r="342" spans="1:77" ht="24.75" customHeight="1" x14ac:dyDescent="0.25">
      <c r="A342" s="210"/>
      <c r="B342" s="232"/>
      <c r="C342" s="232"/>
      <c r="D342" s="232"/>
      <c r="E342" s="232"/>
      <c r="F342" s="234"/>
      <c r="G342" s="232"/>
      <c r="H342" s="232"/>
      <c r="I342" s="232"/>
      <c r="J342" s="234"/>
      <c r="K342" s="234"/>
      <c r="L342" s="234"/>
      <c r="M342" s="232"/>
      <c r="N342" s="232"/>
      <c r="O342" s="233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4"/>
      <c r="AC342" s="234"/>
      <c r="AD342" s="234"/>
      <c r="AE342" s="232"/>
      <c r="AF342" s="232"/>
      <c r="AG342" s="294"/>
      <c r="AH342" s="294"/>
      <c r="AI342" s="232"/>
      <c r="AJ342" s="232"/>
      <c r="AK342" s="232"/>
      <c r="AL342" s="232"/>
      <c r="AM342" s="232"/>
      <c r="AN342" s="232"/>
      <c r="AO342" s="232"/>
      <c r="AP342" s="234"/>
      <c r="AQ342" s="232"/>
      <c r="AR342" s="232"/>
      <c r="AS342" s="232"/>
      <c r="AT342" s="232"/>
      <c r="AU342" s="233"/>
      <c r="AV342" s="232"/>
      <c r="AW342" s="232"/>
      <c r="AX342" s="233"/>
      <c r="AY342" s="233"/>
      <c r="AZ342" s="232"/>
      <c r="BA342" s="232"/>
      <c r="BB342" s="232"/>
      <c r="BC342" s="232"/>
      <c r="BD342" s="232"/>
      <c r="BE342" s="232"/>
      <c r="BF342" s="232"/>
      <c r="BG342" s="232"/>
      <c r="BH342" s="232"/>
      <c r="BI342" s="232"/>
      <c r="BJ342" s="232"/>
      <c r="BK342" s="233"/>
      <c r="BL342" s="232"/>
      <c r="BM342" s="232"/>
      <c r="BN342" s="232"/>
      <c r="BO342" s="232"/>
      <c r="BP342" s="232"/>
      <c r="BQ342" s="232"/>
      <c r="BR342" s="232"/>
      <c r="BS342" s="232"/>
      <c r="BT342" s="232"/>
      <c r="BU342" s="232"/>
      <c r="BV342" s="232"/>
      <c r="BW342" s="232"/>
      <c r="BX342" s="232"/>
      <c r="BY342" s="232"/>
    </row>
  </sheetData>
  <autoFilter ref="B13:BM291" xr:uid="{00000000-0001-0000-0000-000000000000}">
    <filterColumn colId="40">
      <filters>
        <filter val="6014.2022/0003932-8"/>
        <filter val="6014.2022/0003936-0"/>
        <filter val="6014.2022/0003939-5"/>
        <filter val="6014.2022/0003940-9"/>
        <filter val="6014.2022/0003941-7"/>
        <filter val="6014.2022/0003943-3"/>
        <filter val="6014.2022/0003947-6"/>
        <filter val="6014.2022/0003955-7"/>
        <filter val="6014.2022/0003960-3"/>
        <filter val="6014.2022/0003962-0"/>
        <filter val="6014.2022/0004025-3"/>
        <filter val="6014.2022/0004026-1"/>
        <filter val="6014.2022/0004027-0"/>
        <filter val="6014.2022/0004029-6"/>
        <filter val="6014.2022/0004030-0"/>
        <filter val="6014.2022/0004031-8"/>
        <filter val="6014.2022/0004032-6"/>
        <filter val="6014.2022/0004033-4"/>
        <filter val="6014.2022/0004034-2"/>
        <filter val="6014.2022/0004035-0"/>
        <filter val="6014.2022/0004081-4"/>
        <filter val="6014.2022/0004083-0"/>
        <filter val="6014.2022/0004086-5"/>
        <filter val="6014.2022/0004089-0"/>
        <filter val="6014.2022/0004134-9"/>
        <filter val="6014.2022/0004135-7"/>
        <filter val="6014.2022/0004136-5"/>
        <filter val="6014.2022/0004137-3"/>
        <filter val="6014.2022/0004138-1"/>
        <filter val="6014.2022/0004139-0"/>
        <filter val="6014.2022/0004140-3"/>
        <filter val="6014.2022/0004143-8"/>
        <filter val="6014.2022/0004146-2"/>
        <filter val="6014.2023/0000021-0"/>
        <filter val="6014.2023/0000025-3"/>
        <filter val="6014.2023/0000168-3"/>
        <filter val="6014.2023/0000339-2"/>
        <filter val="6014.2023/0000353-8"/>
        <filter val="6014.2023/0000358-9"/>
        <filter val="6014.2023/0000363-5"/>
        <filter val="6014.2023/0000370-8"/>
        <filter val="6014.2023/0000371-6"/>
        <filter val="6014.2023/0001314-2"/>
        <filter val="6014.2023/0001488-2"/>
        <filter val="6014.2023/0001806-3"/>
        <filter val="6014.2023/0001908-6"/>
        <filter val="6014.2023/0001912-4"/>
        <filter val="6014.2023/0001926-4"/>
        <filter val="6014.2023/0001940-0"/>
        <filter val="6014.2023/0001994-9"/>
        <filter val="6014.2023/0001996-5"/>
        <filter val="6014.2023/0001998-1"/>
        <filter val="6014.2023/0001999-0"/>
        <filter val="6014.2023/0002079-3"/>
        <filter val="6014.2023/0002112-9"/>
        <filter val="6014.2023/0002325-3"/>
        <filter val="6014.2023/0002360-1"/>
        <filter val="6014.2023/0003970-2"/>
        <filter val="6014.2023/0003976-1"/>
        <filter val="6014.2023/0003999-0"/>
        <filter val="6014.2023/0004371-8"/>
        <filter val="6014.2023/0004406-4"/>
        <filter val="6014.2023/0004407-2"/>
        <filter val="6014.2023/0004408-0"/>
        <filter val="6014.2023/0004409-9"/>
        <filter val="6014.2023/0004410-2"/>
        <filter val="6014.2023/0004412-9"/>
        <filter val="6014.2023/0004413-7"/>
        <filter val="6014.2023/0004414-5"/>
        <filter val="6014.2023/0004451-0"/>
        <filter val="6014.2023/0004452-8"/>
        <filter val="6014.2023/0004453-6"/>
        <filter val="6014.2023/0004454-4"/>
        <filter val="6014.2023/0004455-2"/>
        <filter val="6014.2023/0004457-9"/>
        <filter val="6014.2023/0004458-7"/>
        <filter val="6014.2023/0004459-5"/>
        <filter val="6014.2023/0004466-8"/>
        <filter val="6014.2023/0004470-6"/>
        <filter val="6014.2023/0004810-8"/>
        <filter val="6014.2023/0004860-4"/>
        <filter val="6014.2023/0004873-6"/>
        <filter val="6014.2023/0004890-6"/>
        <filter val="6014.2023/0004934-1"/>
        <filter val="6014.2023/0004964-3"/>
        <filter val="6014.2023/0005015-3"/>
        <filter val="6014.2023/0005025-0"/>
        <filter val="6014.2023/0005034-0"/>
        <filter val="6014.2023/0005042-0"/>
        <filter val="6014.2023/0005110-9"/>
        <filter val="6014.2023/0005136-2"/>
        <filter val="6014.2023/0005139-7"/>
        <filter val="6014.2023/0005165-6"/>
        <filter val="6014.2023/0005166-4"/>
        <filter val="6014.2023/0005180-0"/>
        <filter val="6014.2023/0005186-9"/>
        <filter val="6014.2023/0005251-2"/>
        <filter val="6014.2023/0005254-7"/>
        <filter val="6014.2024/0000890-6"/>
        <filter val="6014.2024/0001465-5"/>
        <filter val="6014.2024/0001757-3"/>
        <filter val="6014.2024/0002462-6"/>
        <filter val="6014.2024/0002531-2"/>
        <filter val="6014.2024/0002535-5"/>
        <filter val="6014.2024/0002551-7"/>
        <filter val="6014.2024/0002630-0"/>
        <filter val="6014.2024/0002640-8"/>
        <filter val="6014.2024/0002668-8"/>
        <filter val="6014.2024/0002674-2"/>
        <filter val="6014.2024/0002698-0"/>
        <filter val="6014.2024/0002701-3"/>
        <filter val="6014.2024/0002936-9"/>
        <filter val="6014.2024/0002937-7"/>
        <filter val="6014.2024/0002940-7"/>
        <filter val="6014.2024/0002948-2"/>
        <filter val="6014.2024/0002952-0"/>
        <filter val="6014.2024/0002988-1"/>
        <filter val="6014.2024/0002990-3"/>
        <filter val="6014.2024/0002994-6"/>
        <filter val="6014.2024/0002995-4"/>
        <filter val="6014.2024/0003010-3"/>
        <filter val="6014.2024/0003012-0"/>
        <filter val="6014.2024/0003013-8"/>
        <filter val="6014.2024/0003014-6"/>
        <filter val="6014.2024/0003046-4"/>
        <filter val="6014.2024/0003048-0"/>
        <filter val="6014.2024/0003078-2"/>
        <filter val="6014.2024/0003118-5"/>
        <filter val="6014.2024/0003119-3"/>
        <filter val="6014.2024/0003122-3"/>
        <filter val="6014.2024/0003126-6"/>
        <filter val="6014.2024/0003145-2"/>
        <filter val="6014.2024/0003150-9"/>
        <filter val="6014.2024/0003151-7"/>
        <filter val="6014.2024/0003256-4"/>
        <filter val="6014.2024/0003370-6"/>
        <filter val="6014.2024/0003371-4"/>
        <filter val="6014.2024/0003474-5"/>
        <filter val="6014.2024/0004013-3"/>
        <filter val="6014.2024/0004014-1"/>
        <filter val="6014.2024/0005231-0"/>
        <filter val="6014.2024/0005234-4"/>
        <filter val="6014.2024/0005237-9"/>
        <filter val="6014.2024/0005244-1"/>
        <filter val="6014.2025/0002733-3"/>
        <filter val="6014.2025/0003426-7"/>
        <filter val="6014.2025/0004094-1"/>
        <filter val="6014.2025/0004713-0"/>
        <filter val="6014.2025/0004730-0"/>
        <filter val="6014.2025/0004756-3"/>
        <filter val="6014.2025/0004772-5"/>
        <filter val="6014.2025/0004825-0"/>
      </filters>
    </filterColumn>
    <filterColumn colId="41">
      <filters>
        <filter val="FINALIZADO"/>
      </filters>
    </filterColumn>
  </autoFilter>
  <dataConsolidate function="product"/>
  <mergeCells count="4">
    <mergeCell ref="BD12:BM12"/>
    <mergeCell ref="P12:AA12"/>
    <mergeCell ref="A12:O12"/>
    <mergeCell ref="BB12:BC12"/>
  </mergeCells>
  <phoneticPr fontId="7" type="noConversion"/>
  <conditionalFormatting sqref="F1:F1048576">
    <cfRule type="duplicateValues" dxfId="282" priority="167"/>
  </conditionalFormatting>
  <conditionalFormatting sqref="F84">
    <cfRule type="duplicateValues" dxfId="281" priority="329"/>
    <cfRule type="duplicateValues" dxfId="280" priority="338"/>
    <cfRule type="duplicateValues" dxfId="279" priority="331"/>
    <cfRule type="duplicateValues" dxfId="278" priority="333"/>
    <cfRule type="duplicateValues" dxfId="277" priority="334"/>
    <cfRule type="duplicateValues" dxfId="276" priority="335"/>
    <cfRule type="duplicateValues" dxfId="275" priority="336"/>
    <cfRule type="duplicateValues" dxfId="274" priority="332"/>
    <cfRule type="duplicateValues" dxfId="273" priority="337"/>
    <cfRule type="duplicateValues" dxfId="272" priority="339"/>
    <cfRule type="duplicateValues" dxfId="271" priority="330"/>
  </conditionalFormatting>
  <conditionalFormatting sqref="F156">
    <cfRule type="duplicateValues" dxfId="270" priority="320"/>
    <cfRule type="duplicateValues" dxfId="269" priority="327"/>
    <cfRule type="duplicateValues" dxfId="268" priority="322"/>
    <cfRule type="duplicateValues" dxfId="267" priority="321"/>
    <cfRule type="duplicateValues" dxfId="266" priority="323"/>
    <cfRule type="duplicateValues" dxfId="265" priority="319"/>
    <cfRule type="duplicateValues" dxfId="264" priority="318"/>
    <cfRule type="duplicateValues" dxfId="263" priority="328"/>
    <cfRule type="duplicateValues" dxfId="262" priority="326"/>
    <cfRule type="duplicateValues" dxfId="261" priority="325"/>
    <cfRule type="duplicateValues" dxfId="260" priority="324"/>
  </conditionalFormatting>
  <conditionalFormatting sqref="F158">
    <cfRule type="duplicateValues" dxfId="259" priority="316"/>
    <cfRule type="duplicateValues" dxfId="258" priority="311"/>
    <cfRule type="duplicateValues" dxfId="257" priority="310"/>
    <cfRule type="duplicateValues" dxfId="256" priority="309"/>
    <cfRule type="duplicateValues" dxfId="255" priority="317"/>
    <cfRule type="duplicateValues" dxfId="254" priority="308"/>
    <cfRule type="duplicateValues" dxfId="253" priority="315"/>
    <cfRule type="duplicateValues" dxfId="252" priority="314"/>
    <cfRule type="duplicateValues" dxfId="251" priority="313"/>
    <cfRule type="duplicateValues" dxfId="250" priority="312"/>
    <cfRule type="duplicateValues" dxfId="249" priority="307"/>
  </conditionalFormatting>
  <conditionalFormatting sqref="F188:F1048576 F1:F184">
    <cfRule type="duplicateValues" dxfId="248" priority="2333"/>
    <cfRule type="duplicateValues" dxfId="247" priority="169"/>
  </conditionalFormatting>
  <conditionalFormatting sqref="F210">
    <cfRule type="duplicateValues" dxfId="246" priority="303"/>
    <cfRule type="duplicateValues" dxfId="245" priority="300"/>
    <cfRule type="duplicateValues" dxfId="244" priority="301"/>
    <cfRule type="duplicateValues" dxfId="243" priority="306"/>
    <cfRule type="duplicateValues" dxfId="242" priority="302"/>
    <cfRule type="duplicateValues" dxfId="241" priority="304"/>
    <cfRule type="duplicateValues" dxfId="240" priority="305"/>
    <cfRule type="duplicateValues" dxfId="239" priority="296"/>
    <cfRule type="duplicateValues" dxfId="238" priority="297"/>
    <cfRule type="duplicateValues" dxfId="237" priority="298"/>
    <cfRule type="duplicateValues" dxfId="236" priority="299"/>
  </conditionalFormatting>
  <conditionalFormatting sqref="F235">
    <cfRule type="duplicateValues" dxfId="235" priority="292"/>
    <cfRule type="duplicateValues" dxfId="234" priority="291"/>
    <cfRule type="duplicateValues" dxfId="233" priority="290"/>
    <cfRule type="duplicateValues" dxfId="232" priority="289"/>
    <cfRule type="duplicateValues" dxfId="231" priority="288"/>
    <cfRule type="duplicateValues" dxfId="230" priority="287"/>
    <cfRule type="duplicateValues" dxfId="229" priority="286"/>
    <cfRule type="duplicateValues" dxfId="228" priority="285"/>
    <cfRule type="duplicateValues" dxfId="227" priority="284"/>
    <cfRule type="duplicateValues" dxfId="226" priority="294"/>
    <cfRule type="duplicateValues" dxfId="225" priority="293"/>
    <cfRule type="duplicateValues" dxfId="224" priority="295"/>
  </conditionalFormatting>
  <conditionalFormatting sqref="F267:F297 F189 F227:F228">
    <cfRule type="duplicateValues" dxfId="223" priority="2431"/>
    <cfRule type="duplicateValues" dxfId="222" priority="2430"/>
    <cfRule type="duplicateValues" dxfId="221" priority="2429"/>
    <cfRule type="duplicateValues" dxfId="220" priority="2428"/>
    <cfRule type="duplicateValues" dxfId="219" priority="2427"/>
  </conditionalFormatting>
  <conditionalFormatting sqref="F267:F310 F189 F227:F228">
    <cfRule type="duplicateValues" dxfId="218" priority="2442"/>
  </conditionalFormatting>
  <conditionalFormatting sqref="J84">
    <cfRule type="duplicateValues" dxfId="217" priority="282"/>
    <cfRule type="duplicateValues" dxfId="216" priority="281"/>
    <cfRule type="duplicateValues" dxfId="215" priority="279"/>
    <cfRule type="duplicateValues" dxfId="214" priority="280"/>
    <cfRule type="duplicateValues" dxfId="213" priority="278"/>
  </conditionalFormatting>
  <conditionalFormatting sqref="J97">
    <cfRule type="duplicateValues" dxfId="212" priority="159"/>
    <cfRule type="duplicateValues" dxfId="211" priority="158"/>
    <cfRule type="duplicateValues" dxfId="210" priority="160"/>
  </conditionalFormatting>
  <conditionalFormatting sqref="J135">
    <cfRule type="duplicateValues" dxfId="209" priority="161"/>
    <cfRule type="duplicateValues" dxfId="208" priority="162"/>
    <cfRule type="duplicateValues" dxfId="207" priority="163"/>
  </conditionalFormatting>
  <conditionalFormatting sqref="J219">
    <cfRule type="duplicateValues" dxfId="206" priority="86"/>
    <cfRule type="duplicateValues" dxfId="205" priority="87"/>
    <cfRule type="duplicateValues" dxfId="204" priority="85"/>
  </conditionalFormatting>
  <conditionalFormatting sqref="J220:J232 J1:J96 J136:J218 J98:J108 J110:J133 J234:J1048576">
    <cfRule type="duplicateValues" dxfId="203" priority="165"/>
  </conditionalFormatting>
  <conditionalFormatting sqref="J233">
    <cfRule type="duplicateValues" dxfId="202" priority="12"/>
    <cfRule type="duplicateValues" dxfId="201" priority="13"/>
    <cfRule type="duplicateValues" dxfId="200" priority="14"/>
  </conditionalFormatting>
  <conditionalFormatting sqref="J235">
    <cfRule type="duplicateValues" dxfId="199" priority="274"/>
    <cfRule type="duplicateValues" dxfId="198" priority="272"/>
    <cfRule type="duplicateValues" dxfId="197" priority="273"/>
  </conditionalFormatting>
  <conditionalFormatting sqref="AB12">
    <cfRule type="duplicateValues" dxfId="196" priority="81"/>
  </conditionalFormatting>
  <conditionalFormatting sqref="AB84">
    <cfRule type="duplicateValues" dxfId="195" priority="277"/>
    <cfRule type="duplicateValues" dxfId="194" priority="276"/>
    <cfRule type="duplicateValues" dxfId="193" priority="275"/>
  </conditionalFormatting>
  <conditionalFormatting sqref="AB108:AB110">
    <cfRule type="duplicateValues" dxfId="192" priority="45"/>
  </conditionalFormatting>
  <conditionalFormatting sqref="AB138:AB141">
    <cfRule type="duplicateValues" dxfId="191" priority="20"/>
  </conditionalFormatting>
  <conditionalFormatting sqref="AB220">
    <cfRule type="duplicateValues" dxfId="190" priority="145"/>
  </conditionalFormatting>
  <conditionalFormatting sqref="AB221:AB1048576 AB1:AB11 AB13:AB107 AB111:AB127 AB130:AB137 AB142:AB219">
    <cfRule type="duplicateValues" dxfId="189" priority="164"/>
  </conditionalFormatting>
  <conditionalFormatting sqref="AB229:AB1048576 AB211:AB219 AB1:AB11 AB133:AB137 AB188:AB209 AB86:AB107 AB116:AB127 AB221:AB226 AB13:AB84 AB111:AB114 AB130:AB131 AB142:AB185">
    <cfRule type="duplicateValues" dxfId="188" priority="168"/>
  </conditionalFormatting>
  <conditionalFormatting sqref="AB235">
    <cfRule type="duplicateValues" dxfId="187" priority="269"/>
    <cfRule type="duplicateValues" dxfId="186" priority="271"/>
    <cfRule type="duplicateValues" dxfId="185" priority="270"/>
  </conditionalFormatting>
  <conditionalFormatting sqref="AB244">
    <cfRule type="duplicateValues" dxfId="184" priority="382"/>
    <cfRule type="duplicateValues" dxfId="183" priority="380"/>
    <cfRule type="duplicateValues" dxfId="182" priority="381"/>
  </conditionalFormatting>
  <conditionalFormatting sqref="AB256:AB1048576 AB1:AB11 AB133:AB137 AB188:AB209 AB211:AB219 AB229:AB254 AB86:AB107 AB116:AB127 AB221:AB226 AB13:AB84 AB111:AB114 AB130:AB131 AB142:AB185">
    <cfRule type="duplicateValues" dxfId="181" priority="224"/>
  </conditionalFormatting>
  <conditionalFormatting sqref="AE1:AE11 AE13:AE107 AE109:AE342 AE343:AF1048576">
    <cfRule type="containsText" dxfId="180" priority="170" operator="containsText" text="NÃO RESIDENTE">
      <formula>NOT(ISERROR(SEARCH("NÃO RESIDENTE",AE1)))</formula>
    </cfRule>
  </conditionalFormatting>
  <conditionalFormatting sqref="AE12">
    <cfRule type="containsText" dxfId="179" priority="82" operator="containsText" text="não residente">
      <formula>NOT(ISERROR(SEARCH("não residente",AE12)))</formula>
    </cfRule>
  </conditionalFormatting>
  <conditionalFormatting sqref="AV14:AW14">
    <cfRule type="cellIs" dxfId="178" priority="11" operator="between">
      <formula>36526</formula>
      <formula>402133</formula>
    </cfRule>
  </conditionalFormatting>
  <conditionalFormatting sqref="AW76">
    <cfRule type="cellIs" dxfId="177" priority="10" operator="between">
      <formula>36526</formula>
      <formula>402133</formula>
    </cfRule>
  </conditionalFormatting>
  <conditionalFormatting sqref="AY1:AY160">
    <cfRule type="cellIs" dxfId="176" priority="4" operator="between">
      <formula>36526</formula>
      <formula>402133</formula>
    </cfRule>
  </conditionalFormatting>
  <conditionalFormatting sqref="AY12">
    <cfRule type="cellIs" dxfId="175" priority="83" operator="between">
      <formula>36526</formula>
      <formula>"31/12/3000"</formula>
    </cfRule>
  </conditionalFormatting>
  <conditionalFormatting sqref="AY162 AY164:AY165 AY170 AY172:AY199 AY201:AY218 AY232:AY1048576">
    <cfRule type="cellIs" dxfId="174" priority="262" operator="between">
      <formula>36526</formula>
      <formula>402133</formula>
    </cfRule>
  </conditionalFormatting>
  <conditionalFormatting sqref="AY220:AY230">
    <cfRule type="cellIs" dxfId="173" priority="30" operator="between">
      <formula>36526</formula>
      <formula>402133</formula>
    </cfRule>
  </conditionalFormatting>
  <conditionalFormatting sqref="AZ209 AZ211">
    <cfRule type="cellIs" dxfId="172" priority="211" operator="between">
      <formula>36526</formula>
      <formula>402133</formula>
    </cfRule>
  </conditionalFormatting>
  <conditionalFormatting sqref="AZ223">
    <cfRule type="cellIs" dxfId="171" priority="210" operator="between">
      <formula>36526</formula>
      <formula>402133</formula>
    </cfRule>
  </conditionalFormatting>
  <conditionalFormatting sqref="AZ260:AZ261">
    <cfRule type="cellIs" dxfId="170" priority="206" operator="between">
      <formula>36526</formula>
      <formula>402133</formula>
    </cfRule>
  </conditionalFormatting>
  <conditionalFormatting sqref="AZ263">
    <cfRule type="cellIs" dxfId="169" priority="205" operator="between">
      <formula>36526</formula>
      <formula>402133</formula>
    </cfRule>
  </conditionalFormatting>
  <conditionalFormatting sqref="BA15">
    <cfRule type="cellIs" dxfId="168" priority="240" operator="between">
      <formula>36526</formula>
      <formula>402133</formula>
    </cfRule>
  </conditionalFormatting>
  <conditionalFormatting sqref="BA184">
    <cfRule type="cellIs" dxfId="167" priority="226" operator="between">
      <formula>36526</formula>
      <formula>402133</formula>
    </cfRule>
  </conditionalFormatting>
  <conditionalFormatting sqref="BA204">
    <cfRule type="cellIs" dxfId="166" priority="223" operator="between">
      <formula>36526</formula>
      <formula>402133</formula>
    </cfRule>
  </conditionalFormatting>
  <conditionalFormatting sqref="BB1:BB1048576 BF29:BF45 BF48:BF98 BF100:BF106 BF108:BF109 BF113:BF114 BF116:BF121 BF124:BF131 BF133 BF135:BF139 BF141 BF143:BF151 BF154:BF160 BF162 BF164:BF165 BF167 BF170:BF171 BF174:BF175 BF193:BF196 BF198:BF199 BF201:BF218 BF222:BF224 BF228:BF239 BF241:BF242 BF244 BF248 BF252:BF253 BF256:BF263 BF265:BF266">
    <cfRule type="cellIs" dxfId="165" priority="268" operator="equal">
      <formula>"FINALIZADO"</formula>
    </cfRule>
  </conditionalFormatting>
  <conditionalFormatting sqref="BD12:BD266">
    <cfRule type="cellIs" dxfId="164" priority="264" operator="equal">
      <formula>"AA"</formula>
    </cfRule>
    <cfRule type="cellIs" dxfId="163" priority="263" operator="equal">
      <formula>"INDENIZAÇÃO"</formula>
    </cfRule>
  </conditionalFormatting>
  <conditionalFormatting sqref="BF178:BF190">
    <cfRule type="cellIs" dxfId="162" priority="69" operator="equal">
      <formula>"FINALIZADO"</formula>
    </cfRule>
  </conditionalFormatting>
  <conditionalFormatting sqref="BF14:BH27 BD14:BE266 BG42:BH45 BG193:BH193 BG221:BH225 BG260:BH260 BG263:BH263 BF264:BH264">
    <cfRule type="cellIs" dxfId="161" priority="257" operator="equal">
      <formula>"FINALIZADO"</formula>
    </cfRule>
  </conditionalFormatting>
  <conditionalFormatting sqref="BF111:BH111">
    <cfRule type="cellIs" dxfId="160" priority="76" operator="equal">
      <formula>"FINALIZADO"</formula>
    </cfRule>
  </conditionalFormatting>
  <conditionalFormatting sqref="BF161:BH161">
    <cfRule type="cellIs" dxfId="159" priority="196" operator="equal">
      <formula>"FINALIZADO"</formula>
    </cfRule>
  </conditionalFormatting>
  <conditionalFormatting sqref="BF163:BH163">
    <cfRule type="cellIs" dxfId="158" priority="194" operator="equal">
      <formula>"FINALIZADO"</formula>
    </cfRule>
  </conditionalFormatting>
  <conditionalFormatting sqref="BF166:BH166">
    <cfRule type="cellIs" dxfId="157" priority="192" operator="equal">
      <formula>"FINALIZADO"</formula>
    </cfRule>
  </conditionalFormatting>
  <conditionalFormatting sqref="BF168:BH168">
    <cfRule type="cellIs" dxfId="156" priority="190" operator="equal">
      <formula>"FINALIZADO"</formula>
    </cfRule>
  </conditionalFormatting>
  <conditionalFormatting sqref="BF191:BH191">
    <cfRule type="cellIs" dxfId="155" priority="188" operator="equal">
      <formula>"FINALIZADO"</formula>
    </cfRule>
  </conditionalFormatting>
  <conditionalFormatting sqref="BF220:BH220">
    <cfRule type="cellIs" dxfId="154" priority="21" operator="equal">
      <formula>"FINALIZADO"</formula>
    </cfRule>
  </conditionalFormatting>
  <conditionalFormatting sqref="BF226:BH226">
    <cfRule type="cellIs" dxfId="153" priority="52" operator="equal">
      <formula>"FINALIZADO"</formula>
    </cfRule>
  </conditionalFormatting>
  <conditionalFormatting sqref="BF240:BH240">
    <cfRule type="cellIs" dxfId="152" priority="186" operator="equal">
      <formula>"FINALIZADO"</formula>
    </cfRule>
  </conditionalFormatting>
  <conditionalFormatting sqref="BF243:BH243">
    <cfRule type="cellIs" dxfId="151" priority="182" operator="equal">
      <formula>"FINALIZADO"</formula>
    </cfRule>
  </conditionalFormatting>
  <conditionalFormatting sqref="BF247:BH247">
    <cfRule type="cellIs" dxfId="150" priority="175" operator="equal">
      <formula>"FINALIZADO"</formula>
    </cfRule>
  </conditionalFormatting>
  <conditionalFormatting sqref="BF255:BH255">
    <cfRule type="cellIs" dxfId="149" priority="179" operator="equal">
      <formula>"FINALIZADO"</formula>
    </cfRule>
  </conditionalFormatting>
  <conditionalFormatting sqref="BG29:BH40">
    <cfRule type="cellIs" dxfId="148" priority="225" operator="equal">
      <formula>"FINALIZADO"</formula>
    </cfRule>
  </conditionalFormatting>
  <conditionalFormatting sqref="BG48:BH48 BG172:BH172 BG174:BH174 BG178:BH178 BG196:BH196">
    <cfRule type="cellIs" dxfId="147" priority="259" operator="equal">
      <formula>"FINALIZADO"</formula>
    </cfRule>
  </conditionalFormatting>
  <conditionalFormatting sqref="BG50:BH56">
    <cfRule type="cellIs" dxfId="146" priority="231" operator="equal">
      <formula>"FINALIZADO"</formula>
    </cfRule>
  </conditionalFormatting>
  <conditionalFormatting sqref="BG58:BH79">
    <cfRule type="cellIs" dxfId="145" priority="203" operator="equal">
      <formula>"FINALIZADO"</formula>
    </cfRule>
  </conditionalFormatting>
  <conditionalFormatting sqref="BG86:BH86">
    <cfRule type="cellIs" dxfId="144" priority="126" operator="equal">
      <formula>"FINALIZADO"</formula>
    </cfRule>
  </conditionalFormatting>
  <conditionalFormatting sqref="BG90:BH91">
    <cfRule type="cellIs" dxfId="143" priority="50" operator="equal">
      <formula>"FINALIZADO"</formula>
    </cfRule>
  </conditionalFormatting>
  <conditionalFormatting sqref="BG94:BH95">
    <cfRule type="cellIs" dxfId="142" priority="60" operator="equal">
      <formula>"FINALIZADO"</formula>
    </cfRule>
  </conditionalFormatting>
  <conditionalFormatting sqref="BG97:BH100">
    <cfRule type="cellIs" dxfId="141" priority="116" operator="equal">
      <formula>"FINALIZADO"</formula>
    </cfRule>
  </conditionalFormatting>
  <conditionalFormatting sqref="BG102:BH103">
    <cfRule type="cellIs" dxfId="140" priority="28" operator="equal">
      <formula>"FINALIZADO"</formula>
    </cfRule>
  </conditionalFormatting>
  <conditionalFormatting sqref="BG105:BH107">
    <cfRule type="cellIs" dxfId="139" priority="26" operator="equal">
      <formula>"FINALIZADO"</formula>
    </cfRule>
  </conditionalFormatting>
  <conditionalFormatting sqref="BG112:BH112">
    <cfRule type="cellIs" dxfId="138" priority="140" operator="equal">
      <formula>"FINALIZADO"</formula>
    </cfRule>
  </conditionalFormatting>
  <conditionalFormatting sqref="BG114:BH114">
    <cfRule type="cellIs" dxfId="137" priority="138" operator="equal">
      <formula>"FINALIZADO"</formula>
    </cfRule>
  </conditionalFormatting>
  <conditionalFormatting sqref="BG116:BH117">
    <cfRule type="cellIs" dxfId="136" priority="134" operator="equal">
      <formula>"FINALIZADO"</formula>
    </cfRule>
  </conditionalFormatting>
  <conditionalFormatting sqref="BG119:BH121">
    <cfRule type="cellIs" dxfId="135" priority="74" operator="equal">
      <formula>"FINALIZADO"</formula>
    </cfRule>
  </conditionalFormatting>
  <conditionalFormatting sqref="BG123:BH126">
    <cfRule type="cellIs" dxfId="134" priority="24" operator="equal">
      <formula>"FINALIZADO"</formula>
    </cfRule>
  </conditionalFormatting>
  <conditionalFormatting sqref="BG128:BH132">
    <cfRule type="cellIs" dxfId="133" priority="16" operator="equal">
      <formula>"FINALIZADO"</formula>
    </cfRule>
  </conditionalFormatting>
  <conditionalFormatting sqref="BG134:BH137 BG139:BH141">
    <cfRule type="cellIs" dxfId="132" priority="106" operator="equal">
      <formula>"FINALIZADO"</formula>
    </cfRule>
  </conditionalFormatting>
  <conditionalFormatting sqref="BG156:BH156">
    <cfRule type="cellIs" dxfId="131" priority="104" operator="equal">
      <formula>"FINALIZADO"</formula>
    </cfRule>
  </conditionalFormatting>
  <conditionalFormatting sqref="BG158:BH158">
    <cfRule type="cellIs" dxfId="130" priority="93" operator="equal">
      <formula>"FINALIZADO"</formula>
    </cfRule>
  </conditionalFormatting>
  <conditionalFormatting sqref="BG165:BH165">
    <cfRule type="cellIs" dxfId="129" priority="48" operator="equal">
      <formula>"FINALIZADO"</formula>
    </cfRule>
  </conditionalFormatting>
  <conditionalFormatting sqref="BG180:BH180">
    <cfRule type="cellIs" dxfId="128" priority="44" operator="equal">
      <formula>"FINALIZADO"</formula>
    </cfRule>
  </conditionalFormatting>
  <conditionalFormatting sqref="BG185:BH187">
    <cfRule type="cellIs" dxfId="127" priority="70" operator="equal">
      <formula>"FINALIZADO"</formula>
    </cfRule>
  </conditionalFormatting>
  <conditionalFormatting sqref="BG209:BH211">
    <cfRule type="cellIs" dxfId="126" priority="128" operator="equal">
      <formula>"FINALIZADO"</formula>
    </cfRule>
  </conditionalFormatting>
  <conditionalFormatting sqref="BG216:BH218">
    <cfRule type="cellIs" dxfId="125" priority="54" operator="equal">
      <formula>"FINALIZADO"</formula>
    </cfRule>
  </conditionalFormatting>
  <conditionalFormatting sqref="BG236:BH236">
    <cfRule type="cellIs" dxfId="124" priority="8" operator="equal">
      <formula>"FINALIZADO"</formula>
    </cfRule>
  </conditionalFormatting>
  <conditionalFormatting sqref="BG249:BH249">
    <cfRule type="cellIs" dxfId="123" priority="177" operator="equal">
      <formula>"FINALIZADO"</formula>
    </cfRule>
  </conditionalFormatting>
  <conditionalFormatting sqref="BG242:BL242">
    <cfRule type="cellIs" dxfId="122" priority="42" operator="equal">
      <formula>"FINALIZADO"</formula>
    </cfRule>
  </conditionalFormatting>
  <conditionalFormatting sqref="BG266:BL266">
    <cfRule type="cellIs" dxfId="121" priority="40" operator="equal">
      <formula>"FINALIZADO"</formula>
    </cfRule>
  </conditionalFormatting>
  <conditionalFormatting sqref="BG171:BM171">
    <cfRule type="cellIs" dxfId="120" priority="151" operator="equal">
      <formula>"FINALIZADO"</formula>
    </cfRule>
  </conditionalFormatting>
  <conditionalFormatting sqref="BI14:BJ14">
    <cfRule type="cellIs" dxfId="119" priority="3" operator="between">
      <formula>36526</formula>
      <formula>402133</formula>
    </cfRule>
  </conditionalFormatting>
  <conditionalFormatting sqref="BI159:BJ159">
    <cfRule type="cellIs" dxfId="118" priority="1" operator="between">
      <formula>36526</formula>
      <formula>402133</formula>
    </cfRule>
  </conditionalFormatting>
  <conditionalFormatting sqref="BK15:BK17 BK22 BK25:BK26 BK30 BK44:BK45 BK58 BK61:BK66 BM62:BM63 BK74 BK78 BI222:BL222 BI224:BL224 BG246:BH246">
    <cfRule type="cellIs" dxfId="117" priority="252" operator="equal">
      <formula>"FINALIZADO"</formula>
    </cfRule>
  </conditionalFormatting>
  <conditionalFormatting sqref="BK35">
    <cfRule type="cellIs" dxfId="116" priority="233" operator="equal">
      <formula>"FINALIZADO"</formula>
    </cfRule>
  </conditionalFormatting>
  <conditionalFormatting sqref="BK69:BK70">
    <cfRule type="cellIs" dxfId="115" priority="202" operator="equal">
      <formula>"FINALIZADO"</formula>
    </cfRule>
  </conditionalFormatting>
  <conditionalFormatting sqref="BK76">
    <cfRule type="cellIs" dxfId="114" priority="245" operator="equal">
      <formula>"FINALIZADO"</formula>
    </cfRule>
  </conditionalFormatting>
  <conditionalFormatting sqref="BK119">
    <cfRule type="cellIs" dxfId="113" priority="98" operator="equal">
      <formula>"FINALIZADO"</formula>
    </cfRule>
  </conditionalFormatting>
  <conditionalFormatting sqref="BK152:BK153">
    <cfRule type="cellIs" dxfId="112" priority="38" operator="equal">
      <formula>"FINALIZADO"</formula>
    </cfRule>
  </conditionalFormatting>
  <conditionalFormatting sqref="BK158">
    <cfRule type="cellIs" dxfId="111" priority="90" operator="equal">
      <formula>"FINALIZADO"</formula>
    </cfRule>
  </conditionalFormatting>
  <conditionalFormatting sqref="BK161">
    <cfRule type="cellIs" dxfId="110" priority="195" operator="equal">
      <formula>"FINALIZADO"</formula>
    </cfRule>
  </conditionalFormatting>
  <conditionalFormatting sqref="BK163">
    <cfRule type="cellIs" dxfId="109" priority="193" operator="equal">
      <formula>"FINALIZADO"</formula>
    </cfRule>
  </conditionalFormatting>
  <conditionalFormatting sqref="BK166">
    <cfRule type="cellIs" dxfId="108" priority="191" operator="equal">
      <formula>"FINALIZADO"</formula>
    </cfRule>
  </conditionalFormatting>
  <conditionalFormatting sqref="BK168">
    <cfRule type="cellIs" dxfId="107" priority="189" operator="equal">
      <formula>"FINALIZADO"</formula>
    </cfRule>
  </conditionalFormatting>
  <conditionalFormatting sqref="BK191">
    <cfRule type="cellIs" dxfId="106" priority="187" operator="equal">
      <formula>"FINALIZADO"</formula>
    </cfRule>
  </conditionalFormatting>
  <conditionalFormatting sqref="BK240">
    <cfRule type="cellIs" dxfId="105" priority="185" operator="equal">
      <formula>"FINALIZADO"</formula>
    </cfRule>
  </conditionalFormatting>
  <conditionalFormatting sqref="BK243">
    <cfRule type="cellIs" dxfId="104" priority="181" operator="equal">
      <formula>"FINALIZADO"</formula>
    </cfRule>
  </conditionalFormatting>
  <conditionalFormatting sqref="BK247">
    <cfRule type="cellIs" dxfId="103" priority="174" operator="equal">
      <formula>"FINALIZADO"</formula>
    </cfRule>
  </conditionalFormatting>
  <conditionalFormatting sqref="BK255">
    <cfRule type="cellIs" dxfId="102" priority="178" operator="equal">
      <formula>"FINALIZADO"</formula>
    </cfRule>
  </conditionalFormatting>
  <conditionalFormatting sqref="BK264">
    <cfRule type="cellIs" dxfId="101" priority="180" operator="equal">
      <formula>"FINALIZADO"</formula>
    </cfRule>
  </conditionalFormatting>
  <dataValidations count="1">
    <dataValidation allowBlank="1" showInputMessage="1" showErrorMessage="1" sqref="BB57:BC57 AI41 AI79:AI80 AA82:AA84 AO92:AO100 T92:V92 R81:R82 AI86:AI89 AO84:AO86 AK115 AO68:AO70 AS174:AT174 AO59:AO65 AY30 AA86:AA101 Z90:Z92 AO72 AI73 BI15:BI24 Y71:Z72 Q68:Q78 AA72:AA80 Y69:Y70 Z31:Z33 AI103 AL28:AN35 Q87:Z87 AL41:AN42 R54:S58 AP75:AR77 AR217:AT217 AY223:AZ223 Q25:Y26 AV196:AW196 Z20:Z22 Z59:Z60 Q40:Y47 Z43 Z40 S68:X68 X56:Y56 V202:V203 Q36:Q38 AA14 AM16:AM18 B188:B266 AT75:AX75 AY72:AY74 BI236:BK236 S36:S38 AY25:AY26 AY15:AY17 AN36:AN40 X57:X58 Y58 Y222 X51:X55 AU34:AU35 T38:Y38 AU197:AU199 AA68:AA70 Q28:Y33 AV178:AW178 BI221:BJ221 Q175:T175 R51:S51 AM44:AM50 Q16:Y22 Z94:Z96 BI91 R49:T49 AV15:AW42 Y78 V175:Y175 W244:Y244 W246:Y246 AU263:AU264 AZ57 AZ85:AZ89 AK14:AO14 Q48:Q58 AL116:AN117 Y51:Y54 Y74:Y76 AU246:AY246 BI97:BI100 AY222 AP247:AW247 AZ37 BL90 T36:T37 AK175:AN175 AS244:AY244 AV44:AW70 AP180:AW180 AU225:AW225 T51:W58 R38 R69:X78 AU38:AU42 AX38:AX42 AV174:AW174 P264 AM36:AM39 AX57:AX59 AV171:AW172 AL36:AL40 AX52:AX55 R50:Y50 P242:P243 P247 P249 AY44:AY45 BI27:BI29 BI42:BJ42 AS237:AY237 BI75:BJ75 BI77:BJ77 BI79:BJ79 BJ229 BI178:BJ178 BI174:BJ174 BI172:BJ172 AK16:AK42 AL16:AL27 AM20:AM27 AN16:AN27 BF28:BH28 AU224 AY34:AY42 AS34:AT42 BJ225:BJ227 AY22 Q200 BI30:BJ35 BJ29 BJ27 Q239 BI73:BJ73 BJ78 AQ105:AR106 BA85 BM16:BM27 Q191 AK146:AK147 Q161 Q163:Q164 Q166:Q167 AX171:AY171 Q159 BL29:BL35 BL39:BL40 BL42:BM42 BJ38:BJ40 BJ51:BJ53 BL66:BL67 BJ115 BL73:BL79 BL172 BL174 BL178 AZ91:AZ101 Q251 AX61:AX69 AM52:AM69 Q65:Y66 AY62:AZ62 Q59:Y62 Z62:Z63 R63:Y63 AK44:AL69 AN44:AN69 BJ28:BL28 AW221:AW223 BI70:BI71 T64:Y64 BI58:BJ65 Q183 AK180:AN180 AM244:AN244 Q205 Q63:Q64 AO90 BI102:BI103 AQ159:AQ160 AV124:AW124 AQ179 AQ262:AQ263 AU176 AU173 AQ199:AT199 BL153 AU250 V224 BA15 V191:V192 V196 V199 W191 V249 V253 AY252 AU221:AV222 AQ147:AY147 BM71:BM73 AO191 AP264:AR264 AU260 AX44:AX49 AS196:AT196 AQ71:AX74 AA16:AA66 AY63:AY70 AU206 AV156:AZ156 BI111:BI112 BI114:BI117 BI120:BI121 AZ263 AY197:AY198 BI247:BJ247 BL255:BM255 BI25:BJ26 BI44:BJ45 BI36:BI40 BI50:BI56 BL57:BL61 BL25:BL27 BL44:BL45 AN85:AN89 BF46:BL47 AP55:AP74 BL51:BM53 BM54 BM43:BM45 BI243:BJ243 AY260:AZ261 AZ119 BM222 AQ44:AU69 AS198:AT198 AP266:AW266 AY192:AY193 BI67:BJ69 BJ66 BJ70:BJ72 BJ74 BJ76 AO74:AO78 BL70 BL161:BM161 BL163:BM163 BI166:BJ166 BL166:BM166 BI168:BJ168 BL168:BM168 BI191:BJ191 BL191:BM191 BI240:BJ240 BL240:BM240 BM76:BM77 BI180:BJ180 BI264:BJ264 BM242:BM244 AP255:AW255 BI255:BJ255 BI251:BJ251 AV162:AX162 AY49:AY61 AO16:AO57 AP44:AP53 R226:S226 AV185:AX190 AQ130:AZ132 AY226:AZ227 AU249:AZ249 AQ120:AZ121 AP249 AS249 AQ111:AZ112 BJ90 AQ107:AZ107 AM125 AV164:AY165 AL123:AM124 BM56 BM68 BF172:BF173 BF245:BF246 BI48:BJ48 BF197 BF249:BF251 O226:O266 AQ195:AX195 AQ150:AQ151 AR151 T191:T194 T196:T198 T200:T205 AQ207:AY207 AP242:AW243 AS178:AT179 AU194 AV198:AX199 AQ188:AR190 AU179:AX179 T208:T209 Q80:Q83 Q101:Z101 BJ259 BF176:BF177 BI226:BI227 AY185:AZ187 D14:E186 AN71:AN83 AL249:AN249 D188:E266 AQ148:AT149 BI161:BJ163 BI179:BK179 BJ181:BJ190 BI188 BJ192:BJ198 BJ204:BJ205 BF221 S80:X83 AL189 R90:Y91 Q90:Q96 AI75:AI77 AZ80:AZ83 Q169:Q171 Q131 Q121 AK71:AK101 AZ139:AZ141 AS124:AT124 BK162 AQ115:AX115 O14:O215 AN124 AL91:AN101 AL103:AN103 AL111:AN112 AL114:AN114 AL156:AN156 AL130:AN131 AL126:AN126 AL120:AN121 B14:B186 AV148:AW149 AL185:AL187 AL107:AM108 Q124 AT265:AY265 BJ88 AQ123:AZ123 AI82:AI84 BI195:BI197 AY134 V96:X96 BK49 BK147 BK150 BK154:BK155 BK157 BC58:BC266 BK164:BK165 BK173 BK176 BJ138:BL138 BJ238 BI216:BI217 BI199:BJ199 BI190 BJ245:BJ246 BI249:BJ249 BJ253:BJ254 BK265 AT218:AX218 V93:V95 W92:W93 AS185:AT190 AQ116:AZ117 AS226:AX228 AL71:AM89 AS229:AV229 AP78:AP101 AQ78:AY83 BF227 AY209:AZ211 AQ103:AZ103 AV216:AZ216 AQ114:AZ114 AQ126:AZ126 BL264:BM264 AQ210:AX210 AY228 AX206:AY206 BF192 BF225 BI93:BI95 BI123:BI126 AI68 AU184:AU190 BI183:BI186 BI263 BJ216:BJ218 BI210:BJ210 BI177 BI156 BI148:BI149 BL139:BL141 BI86 BF115 BI206:BJ207 BF132 BF134 BF99 BF112 BL115 BJ129:BL129 BL180:BL190 BL192:BL199 BL204:BL207 BL210 BL216:BL218 BL220:BL221 BL225:BL227 BL229 BL238 BL249 BL251 BL253:BL254 BL259 AQ265 AQ162:AT162 AQ102:AR102 AX14:AX35 AS170:AT172 AV170 AS164:AT164 BK260:BK262 AQ124:AR125 Q233:T233 BL245:BL247 AS106:AT106 AP240:AW240 AP252:AW252 AY266 AY180 AY242:AY243 AY245 AY250 AY248 AY263:AY264 BK159:BM159 AV159:AW159 BM58:BM61 BM64:BM65 BM180 BM224 BL243 BM247:BM248 BM250 BM266 BF152:BJ153 BM48 BM36:BM40 BM29:BM34 BK14:BM14 AF28 AF46:AF47 AF35 AF152:AF153 AK152:AN153 AI91:AI101 AV106:AW106 AS156:AT156 AR159:AT159 AU102 AU105 AU125 AU220 AL128:AM129 AX102:AY102 AX105:AY105 AX125:AY125 AX220:AY220 BI105:BI107 BI220:BK220 BJ102:BL102 AL134:AN138 A14:A305 T93:T96 Q118 AL118:AM118 AL139:AM141 AS118 AS14:AU33 AV77:AW77 AZ134:AZ137 AY136:AY141 BI134:BI141 BJ139:BJ141 BJ105:BL106 BJ124:BL125 AQ128:AX129 AT134:AX141 AQ134:AS139 AR141:AS141 BJ137 BL137 BI128:BI132 AP14:AR42 AQ84:AX101 BK82 BI119:BJ119 AP152:AX153 AY77 AY86:AY101 AS76:AU77 BC14:BC56 AQ236:AX236 AQ231:AX231 BI158:BJ158 T211:T232 T234:T253 V233 BJ93:BK93 AV76 AX76 AY159:AZ159 BK160 BJ15:BJ22 BL15:BL22 R92:S96 Y92:Y96 X92:X95" xr:uid="{42DBC0A4-72CF-48C5-9B14-5B05F91E4FAB}"/>
  </dataValidations>
  <hyperlinks>
    <hyperlink ref="AK128" r:id="rId1" display="127849314" xr:uid="{E7E82783-B563-4789-BA04-2E888914F49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368" t="s">
        <v>1399</v>
      </c>
      <c r="B1" s="368"/>
      <c r="C1" s="59"/>
      <c r="D1" s="59"/>
      <c r="E1" s="368" t="s">
        <v>1400</v>
      </c>
      <c r="F1" s="368"/>
    </row>
    <row r="2" spans="1:6" x14ac:dyDescent="0.25">
      <c r="A2" s="60" t="s">
        <v>39</v>
      </c>
      <c r="B2" s="60" t="s">
        <v>1401</v>
      </c>
      <c r="E2" s="58" t="s">
        <v>39</v>
      </c>
      <c r="F2" s="58" t="s">
        <v>1401</v>
      </c>
    </row>
    <row r="3" spans="1:6" x14ac:dyDescent="0.25">
      <c r="A3" s="8" t="s">
        <v>1402</v>
      </c>
      <c r="B3" s="11">
        <v>39</v>
      </c>
      <c r="E3" s="8" t="s">
        <v>1402</v>
      </c>
      <c r="F3" s="11">
        <v>54</v>
      </c>
    </row>
    <row r="4" spans="1:6" x14ac:dyDescent="0.25">
      <c r="A4" s="8" t="s">
        <v>1403</v>
      </c>
      <c r="B4" s="11">
        <v>15</v>
      </c>
      <c r="E4" s="8" t="s">
        <v>1404</v>
      </c>
      <c r="F4" s="11">
        <v>13</v>
      </c>
    </row>
    <row r="5" spans="1:6" x14ac:dyDescent="0.25">
      <c r="A5" s="8" t="s">
        <v>1405</v>
      </c>
      <c r="B5" s="11">
        <v>7</v>
      </c>
      <c r="E5" s="8" t="s">
        <v>1405</v>
      </c>
      <c r="F5" s="11">
        <v>15</v>
      </c>
    </row>
    <row r="6" spans="1:6" x14ac:dyDescent="0.25">
      <c r="A6" s="8" t="s">
        <v>1406</v>
      </c>
      <c r="B6" s="11">
        <v>2</v>
      </c>
      <c r="E6" s="8" t="s">
        <v>1406</v>
      </c>
      <c r="F6" s="11">
        <v>9</v>
      </c>
    </row>
    <row r="7" spans="1:6" x14ac:dyDescent="0.25">
      <c r="A7" s="8" t="s">
        <v>1407</v>
      </c>
      <c r="B7" s="11">
        <v>0</v>
      </c>
      <c r="E7" s="8" t="s">
        <v>1407</v>
      </c>
      <c r="F7" s="11">
        <v>9</v>
      </c>
    </row>
    <row r="8" spans="1:6" x14ac:dyDescent="0.25">
      <c r="A8" s="8" t="s">
        <v>1408</v>
      </c>
      <c r="B8" s="11">
        <v>15</v>
      </c>
      <c r="E8" s="8" t="s">
        <v>1408</v>
      </c>
      <c r="F8" s="11">
        <v>21</v>
      </c>
    </row>
    <row r="9" spans="1:6" x14ac:dyDescent="0.25">
      <c r="A9" s="61" t="s">
        <v>1409</v>
      </c>
      <c r="B9" s="62">
        <f>SUM(B3:B8)</f>
        <v>78</v>
      </c>
      <c r="E9" s="61" t="s">
        <v>1409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1410</v>
      </c>
      <c r="B1" s="5" t="s">
        <v>1411</v>
      </c>
      <c r="C1" s="5" t="s">
        <v>1412</v>
      </c>
      <c r="D1" s="5" t="s">
        <v>1413</v>
      </c>
      <c r="E1" s="5" t="s">
        <v>1414</v>
      </c>
      <c r="F1" s="5" t="s">
        <v>1415</v>
      </c>
      <c r="G1" s="5" t="s">
        <v>1416</v>
      </c>
      <c r="H1" s="5" t="s">
        <v>1417</v>
      </c>
      <c r="I1" s="5" t="s">
        <v>1418</v>
      </c>
      <c r="J1" s="5" t="s">
        <v>1419</v>
      </c>
    </row>
    <row r="2" spans="1:10" x14ac:dyDescent="0.25">
      <c r="A2" s="1" t="s">
        <v>1420</v>
      </c>
      <c r="B2" s="3" t="s">
        <v>1421</v>
      </c>
      <c r="C2" s="3">
        <v>1</v>
      </c>
      <c r="D2" s="3">
        <v>101</v>
      </c>
      <c r="E2" s="24" t="s">
        <v>1422</v>
      </c>
      <c r="F2" s="3" t="s">
        <v>1423</v>
      </c>
      <c r="G2" s="3" t="s">
        <v>15</v>
      </c>
      <c r="H2" s="3" t="s">
        <v>15</v>
      </c>
      <c r="I2" s="3" t="s">
        <v>1424</v>
      </c>
      <c r="J2" s="3" t="s">
        <v>1425</v>
      </c>
    </row>
    <row r="3" spans="1:10" x14ac:dyDescent="0.25">
      <c r="A3" s="1" t="s">
        <v>1426</v>
      </c>
      <c r="B3" s="3" t="s">
        <v>1427</v>
      </c>
      <c r="C3" s="3">
        <v>2</v>
      </c>
      <c r="D3" s="3">
        <v>102</v>
      </c>
      <c r="E3" s="3" t="s">
        <v>1428</v>
      </c>
      <c r="F3" s="6" t="s">
        <v>1429</v>
      </c>
      <c r="G3" s="3" t="s">
        <v>1430</v>
      </c>
      <c r="H3" s="3" t="s">
        <v>1431</v>
      </c>
      <c r="I3" s="3" t="s">
        <v>1432</v>
      </c>
      <c r="J3" s="3" t="s">
        <v>1433</v>
      </c>
    </row>
    <row r="4" spans="1:10" x14ac:dyDescent="0.25">
      <c r="A4" s="1" t="s">
        <v>1434</v>
      </c>
      <c r="B4" s="3" t="s">
        <v>1435</v>
      </c>
      <c r="C4" s="3">
        <v>3</v>
      </c>
      <c r="D4" s="3">
        <v>103</v>
      </c>
      <c r="E4" s="3" t="s">
        <v>1436</v>
      </c>
      <c r="F4" s="3" t="s">
        <v>1437</v>
      </c>
      <c r="G4" s="3" t="s">
        <v>1438</v>
      </c>
      <c r="H4" s="3" t="s">
        <v>1439</v>
      </c>
      <c r="I4" s="3" t="s">
        <v>1440</v>
      </c>
      <c r="J4" s="3" t="s">
        <v>1439</v>
      </c>
    </row>
    <row r="5" spans="1:10" x14ac:dyDescent="0.25">
      <c r="A5" s="1" t="s">
        <v>1441</v>
      </c>
      <c r="B5" s="3" t="s">
        <v>1442</v>
      </c>
      <c r="C5" s="3">
        <v>4</v>
      </c>
      <c r="D5" s="3">
        <v>104</v>
      </c>
      <c r="E5" s="3" t="s">
        <v>1433</v>
      </c>
      <c r="F5" s="3" t="s">
        <v>1443</v>
      </c>
      <c r="G5" s="3" t="s">
        <v>1444</v>
      </c>
      <c r="H5" s="3" t="s">
        <v>1445</v>
      </c>
      <c r="I5" s="3" t="s">
        <v>1439</v>
      </c>
    </row>
    <row r="6" spans="1:10" x14ac:dyDescent="0.25">
      <c r="A6" s="1" t="s">
        <v>1446</v>
      </c>
      <c r="B6" s="3" t="s">
        <v>1447</v>
      </c>
      <c r="C6" s="3">
        <v>5</v>
      </c>
      <c r="D6" s="3">
        <v>201</v>
      </c>
      <c r="E6" s="3" t="s">
        <v>1448</v>
      </c>
      <c r="G6" s="3" t="s">
        <v>1449</v>
      </c>
      <c r="H6" s="3" t="s">
        <v>1450</v>
      </c>
      <c r="I6" s="3" t="s">
        <v>1451</v>
      </c>
    </row>
    <row r="7" spans="1:10" x14ac:dyDescent="0.25">
      <c r="A7" s="1" t="s">
        <v>1452</v>
      </c>
      <c r="B7" s="3" t="s">
        <v>1453</v>
      </c>
      <c r="C7" s="3">
        <v>6</v>
      </c>
      <c r="D7" s="3">
        <v>202</v>
      </c>
      <c r="E7" s="3" t="s">
        <v>1454</v>
      </c>
      <c r="G7" s="3" t="s">
        <v>1455</v>
      </c>
      <c r="I7" s="3" t="s">
        <v>1456</v>
      </c>
    </row>
    <row r="8" spans="1:10" x14ac:dyDescent="0.25">
      <c r="A8" s="1" t="s">
        <v>1457</v>
      </c>
      <c r="B8" s="3" t="s">
        <v>1458</v>
      </c>
      <c r="C8" s="3">
        <v>7</v>
      </c>
      <c r="D8" s="3">
        <v>203</v>
      </c>
      <c r="E8" s="3" t="s">
        <v>1459</v>
      </c>
      <c r="G8" s="3"/>
      <c r="I8" s="3" t="s">
        <v>1460</v>
      </c>
    </row>
    <row r="9" spans="1:10" x14ac:dyDescent="0.25">
      <c r="A9" s="1" t="s">
        <v>1461</v>
      </c>
      <c r="B9" s="3" t="s">
        <v>1462</v>
      </c>
      <c r="C9" s="3">
        <v>8</v>
      </c>
      <c r="D9" s="3">
        <v>204</v>
      </c>
      <c r="E9" s="3" t="s">
        <v>1463</v>
      </c>
    </row>
    <row r="10" spans="1:10" x14ac:dyDescent="0.25">
      <c r="A10" s="1" t="s">
        <v>1464</v>
      </c>
      <c r="B10" s="3" t="s">
        <v>1465</v>
      </c>
      <c r="C10" s="3">
        <v>9</v>
      </c>
      <c r="D10" s="3">
        <v>301</v>
      </c>
      <c r="E10" s="3" t="s">
        <v>1466</v>
      </c>
    </row>
    <row r="11" spans="1:10" x14ac:dyDescent="0.25">
      <c r="A11" s="1" t="s">
        <v>1467</v>
      </c>
      <c r="B11" s="3" t="s">
        <v>1468</v>
      </c>
      <c r="C11" s="3">
        <v>10</v>
      </c>
      <c r="D11" s="3">
        <v>302</v>
      </c>
      <c r="E11" s="3" t="s">
        <v>1469</v>
      </c>
    </row>
    <row r="12" spans="1:10" x14ac:dyDescent="0.25">
      <c r="A12" s="1" t="s">
        <v>1470</v>
      </c>
      <c r="B12" s="3" t="s">
        <v>1471</v>
      </c>
      <c r="C12" s="3">
        <v>11</v>
      </c>
      <c r="D12" s="3">
        <v>303</v>
      </c>
      <c r="E12" s="24" t="s">
        <v>1472</v>
      </c>
    </row>
    <row r="13" spans="1:10" x14ac:dyDescent="0.25">
      <c r="A13" s="1" t="s">
        <v>1473</v>
      </c>
      <c r="B13" s="3" t="s">
        <v>1474</v>
      </c>
      <c r="C13" s="3">
        <v>12</v>
      </c>
      <c r="D13" s="3">
        <v>304</v>
      </c>
      <c r="E13" t="s">
        <v>1475</v>
      </c>
    </row>
    <row r="14" spans="1:10" x14ac:dyDescent="0.25">
      <c r="A14" s="1" t="s">
        <v>1476</v>
      </c>
      <c r="B14" s="3" t="s">
        <v>1477</v>
      </c>
      <c r="C14" s="3">
        <v>13</v>
      </c>
      <c r="D14" s="3">
        <v>401</v>
      </c>
      <c r="E14" s="3" t="s">
        <v>1478</v>
      </c>
    </row>
    <row r="15" spans="1:10" x14ac:dyDescent="0.25">
      <c r="A15" s="1" t="s">
        <v>1479</v>
      </c>
      <c r="B15" s="3" t="s">
        <v>1480</v>
      </c>
      <c r="C15" s="3">
        <v>14</v>
      </c>
      <c r="D15" s="3">
        <v>402</v>
      </c>
      <c r="E15" s="3" t="s">
        <v>1437</v>
      </c>
    </row>
    <row r="16" spans="1:10" x14ac:dyDescent="0.25">
      <c r="A16" s="1" t="s">
        <v>1481</v>
      </c>
      <c r="C16" s="3">
        <v>15</v>
      </c>
      <c r="D16" s="3">
        <v>403</v>
      </c>
      <c r="E16" s="3" t="s">
        <v>1482</v>
      </c>
    </row>
    <row r="17" spans="1:7" x14ac:dyDescent="0.25">
      <c r="A17" s="1" t="s">
        <v>1407</v>
      </c>
      <c r="C17" s="3"/>
      <c r="D17" s="3">
        <v>404</v>
      </c>
      <c r="E17" s="3" t="s">
        <v>1483</v>
      </c>
    </row>
    <row r="18" spans="1:7" x14ac:dyDescent="0.25">
      <c r="A18" s="1" t="s">
        <v>1484</v>
      </c>
      <c r="C18" s="3"/>
      <c r="D18" s="3">
        <v>501</v>
      </c>
      <c r="E18" s="3" t="s">
        <v>1485</v>
      </c>
    </row>
    <row r="19" spans="1:7" x14ac:dyDescent="0.25">
      <c r="A19" s="1" t="s">
        <v>1486</v>
      </c>
      <c r="D19" s="3">
        <v>502</v>
      </c>
      <c r="E19" s="3" t="s">
        <v>1487</v>
      </c>
    </row>
    <row r="20" spans="1:7" x14ac:dyDescent="0.25">
      <c r="A20" s="1" t="s">
        <v>1406</v>
      </c>
      <c r="D20" s="3">
        <v>503</v>
      </c>
      <c r="E20" s="3" t="s">
        <v>1488</v>
      </c>
    </row>
    <row r="21" spans="1:7" x14ac:dyDescent="0.25">
      <c r="A21" s="1" t="s">
        <v>1489</v>
      </c>
      <c r="D21" s="3">
        <v>504</v>
      </c>
      <c r="E21" s="3" t="s">
        <v>1425</v>
      </c>
    </row>
    <row r="22" spans="1:7" x14ac:dyDescent="0.25">
      <c r="A22" s="1" t="s">
        <v>1490</v>
      </c>
      <c r="E22" s="3" t="s">
        <v>1491</v>
      </c>
      <c r="G22" s="3"/>
    </row>
    <row r="23" spans="1:7" x14ac:dyDescent="0.25">
      <c r="A23" s="1" t="s">
        <v>1492</v>
      </c>
      <c r="E23" s="3" t="s">
        <v>1493</v>
      </c>
    </row>
    <row r="24" spans="1:7" x14ac:dyDescent="0.25">
      <c r="A24" s="1" t="s">
        <v>1494</v>
      </c>
    </row>
    <row r="25" spans="1:7" x14ac:dyDescent="0.25">
      <c r="A25" s="1" t="s">
        <v>1408</v>
      </c>
      <c r="G25" s="5"/>
    </row>
    <row r="26" spans="1:7" x14ac:dyDescent="0.25">
      <c r="A26" s="1" t="s">
        <v>1495</v>
      </c>
      <c r="G26" s="3"/>
    </row>
    <row r="27" spans="1:7" x14ac:dyDescent="0.25">
      <c r="A27" s="1" t="s">
        <v>1496</v>
      </c>
      <c r="G27" s="3"/>
    </row>
    <row r="28" spans="1:7" x14ac:dyDescent="0.25">
      <c r="A28" s="1" t="s">
        <v>1497</v>
      </c>
      <c r="G28" s="3"/>
    </row>
    <row r="29" spans="1:7" x14ac:dyDescent="0.25">
      <c r="A29" s="1" t="s">
        <v>1498</v>
      </c>
      <c r="G29" s="3"/>
    </row>
    <row r="30" spans="1:7" x14ac:dyDescent="0.25">
      <c r="A30" s="1" t="s">
        <v>1499</v>
      </c>
      <c r="G30" s="3"/>
    </row>
    <row r="31" spans="1:7" x14ac:dyDescent="0.25">
      <c r="A31" s="1" t="s">
        <v>1500</v>
      </c>
    </row>
    <row r="32" spans="1:7" x14ac:dyDescent="0.25">
      <c r="A32" s="1" t="s">
        <v>1501</v>
      </c>
    </row>
    <row r="33" spans="1:1" x14ac:dyDescent="0.25">
      <c r="A33" s="1" t="s">
        <v>1502</v>
      </c>
    </row>
    <row r="34" spans="1:1" x14ac:dyDescent="0.25">
      <c r="A34" s="1" t="s">
        <v>1503</v>
      </c>
    </row>
    <row r="35" spans="1:1" x14ac:dyDescent="0.25">
      <c r="A35" s="1" t="s">
        <v>1504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1505</v>
      </c>
      <c r="B1" s="56" t="s">
        <v>1506</v>
      </c>
    </row>
    <row r="2" spans="1:3" ht="24.95" customHeight="1" x14ac:dyDescent="0.25">
      <c r="A2" s="57" t="s">
        <v>1421</v>
      </c>
      <c r="B2" s="57" t="e">
        <f>COUNTIF(#REF!,'QUANT COND'!A2)</f>
        <v>#REF!</v>
      </c>
    </row>
    <row r="3" spans="1:3" ht="24.95" customHeight="1" x14ac:dyDescent="0.25">
      <c r="A3" s="57" t="s">
        <v>1427</v>
      </c>
      <c r="B3" s="57" t="e">
        <f>COUNTIF(#REF!,'QUANT COND'!A3)</f>
        <v>#REF!</v>
      </c>
    </row>
    <row r="4" spans="1:3" ht="24.95" customHeight="1" x14ac:dyDescent="0.25">
      <c r="A4" s="57" t="s">
        <v>1435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1442</v>
      </c>
      <c r="B5" s="57" t="e">
        <f>COUNTIF(#REF!,'QUANT COND'!A5)</f>
        <v>#REF!</v>
      </c>
    </row>
    <row r="6" spans="1:3" ht="24.95" customHeight="1" x14ac:dyDescent="0.25">
      <c r="A6" s="57" t="s">
        <v>1447</v>
      </c>
      <c r="B6" s="57" t="e">
        <f>COUNTIF(#REF!,'QUANT COND'!A6)</f>
        <v>#REF!</v>
      </c>
    </row>
    <row r="7" spans="1:3" ht="24.95" customHeight="1" x14ac:dyDescent="0.25">
      <c r="A7" s="57" t="s">
        <v>1453</v>
      </c>
      <c r="B7" s="57" t="e">
        <f>COUNTIF(#REF!,'QUANT COND'!A7)</f>
        <v>#REF!</v>
      </c>
    </row>
    <row r="8" spans="1:3" ht="24.95" customHeight="1" x14ac:dyDescent="0.25">
      <c r="A8" s="57" t="s">
        <v>1458</v>
      </c>
      <c r="B8" s="57" t="e">
        <f>COUNTIF(#REF!,'QUANT COND'!A8)</f>
        <v>#REF!</v>
      </c>
    </row>
    <row r="9" spans="1:3" ht="24.95" customHeight="1" x14ac:dyDescent="0.25">
      <c r="A9" s="57" t="s">
        <v>1462</v>
      </c>
      <c r="B9" s="57" t="e">
        <f>COUNTIF(#REF!,'QUANT COND'!A9)</f>
        <v>#REF!</v>
      </c>
    </row>
    <row r="10" spans="1:3" ht="24.95" customHeight="1" x14ac:dyDescent="0.25">
      <c r="A10" s="57" t="s">
        <v>1465</v>
      </c>
      <c r="B10" s="57" t="e">
        <f>COUNTIF(#REF!,'QUANT COND'!A10)</f>
        <v>#REF!</v>
      </c>
    </row>
    <row r="11" spans="1:3" ht="24.95" customHeight="1" x14ac:dyDescent="0.25">
      <c r="A11" s="57" t="s">
        <v>1468</v>
      </c>
      <c r="B11" s="57" t="e">
        <f>COUNTIF(#REF!,'QUANT COND'!A11)</f>
        <v>#REF!</v>
      </c>
    </row>
    <row r="12" spans="1:3" ht="24.95" customHeight="1" x14ac:dyDescent="0.25">
      <c r="A12" s="57" t="s">
        <v>1471</v>
      </c>
      <c r="B12" s="57" t="e">
        <f>COUNTIF(#REF!,'QUANT COND'!A12)</f>
        <v>#REF!</v>
      </c>
    </row>
    <row r="13" spans="1:3" ht="24.95" customHeight="1" x14ac:dyDescent="0.25">
      <c r="A13" s="57" t="s">
        <v>1474</v>
      </c>
      <c r="B13" s="57" t="e">
        <f>COUNTIF(#REF!,'QUANT COND'!A13)</f>
        <v>#REF!</v>
      </c>
    </row>
    <row r="14" spans="1:3" ht="24.95" customHeight="1" x14ac:dyDescent="0.25">
      <c r="A14" s="57" t="s">
        <v>1477</v>
      </c>
      <c r="B14" s="57" t="e">
        <f>COUNTIF(#REF!,'QUANT COND'!A14)</f>
        <v>#REF!</v>
      </c>
    </row>
    <row r="15" spans="1:3" ht="24.95" customHeight="1" x14ac:dyDescent="0.25">
      <c r="A15" s="57" t="s">
        <v>1480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370" t="s">
        <v>1507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2"/>
    </row>
    <row r="2" spans="1:27" ht="50.25" customHeight="1" x14ac:dyDescent="0.25">
      <c r="A2" s="7" t="s">
        <v>47</v>
      </c>
      <c r="B2" s="7" t="s">
        <v>49</v>
      </c>
      <c r="C2" s="7" t="s">
        <v>1508</v>
      </c>
      <c r="D2" s="12" t="s">
        <v>49</v>
      </c>
      <c r="E2" s="63" t="s">
        <v>1509</v>
      </c>
      <c r="F2" s="63" t="s">
        <v>1510</v>
      </c>
      <c r="G2" s="64" t="s">
        <v>1511</v>
      </c>
      <c r="H2" s="64" t="s">
        <v>1512</v>
      </c>
      <c r="I2" s="41" t="s">
        <v>1513</v>
      </c>
      <c r="J2" s="42" t="s">
        <v>1510</v>
      </c>
      <c r="K2" s="41" t="s">
        <v>1512</v>
      </c>
      <c r="L2" s="53" t="s">
        <v>1514</v>
      </c>
      <c r="M2" s="53" t="s">
        <v>1515</v>
      </c>
      <c r="O2" s="65" t="s">
        <v>1516</v>
      </c>
      <c r="P2" s="66" t="s">
        <v>1506</v>
      </c>
      <c r="Q2" s="66" t="s">
        <v>1517</v>
      </c>
      <c r="R2" s="66" t="s">
        <v>1518</v>
      </c>
      <c r="S2" s="66" t="s">
        <v>1519</v>
      </c>
      <c r="T2" s="43" t="s">
        <v>1520</v>
      </c>
      <c r="Y2" s="45" t="s">
        <v>1521</v>
      </c>
      <c r="Z2" s="45" t="s">
        <v>1522</v>
      </c>
      <c r="AA2" s="44" t="s">
        <v>1523</v>
      </c>
    </row>
    <row r="3" spans="1:27" x14ac:dyDescent="0.25">
      <c r="A3" s="13" t="s">
        <v>1524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1423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1525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1526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1527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1528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1423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1529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1530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1531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1532</v>
      </c>
      <c r="B7" s="67"/>
      <c r="C7" s="18" t="s">
        <v>1533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1534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1535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1423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1536</v>
      </c>
      <c r="B9" s="67">
        <v>98058690597</v>
      </c>
      <c r="C9" s="72"/>
      <c r="D9" s="69"/>
      <c r="E9" s="9">
        <v>423</v>
      </c>
      <c r="F9" s="25">
        <v>43182</v>
      </c>
      <c r="G9" s="70" t="s">
        <v>1423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1537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1538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1539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1423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1540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1541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1423</v>
      </c>
      <c r="H14" s="25">
        <v>42921</v>
      </c>
      <c r="I14" s="8"/>
      <c r="J14" s="8"/>
      <c r="K14" s="8"/>
      <c r="L14" s="9" t="s">
        <v>1542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1543</v>
      </c>
      <c r="B15" s="67">
        <v>38772276860</v>
      </c>
      <c r="C15" s="18" t="s">
        <v>1544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1545</v>
      </c>
      <c r="B16" s="67">
        <v>21538837846</v>
      </c>
      <c r="C16" s="72" t="s">
        <v>1546</v>
      </c>
      <c r="D16" s="69">
        <v>94203180520</v>
      </c>
      <c r="E16" s="9">
        <v>810</v>
      </c>
      <c r="F16" s="25">
        <v>42915</v>
      </c>
      <c r="G16" s="70" t="s">
        <v>1423</v>
      </c>
      <c r="H16" s="25">
        <v>42921</v>
      </c>
      <c r="I16" s="8"/>
      <c r="J16" s="8"/>
      <c r="K16" s="8"/>
      <c r="L16" s="9" t="s">
        <v>1542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1547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1548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1423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1549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1429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1550</v>
      </c>
      <c r="B20" s="67">
        <v>18419589802</v>
      </c>
      <c r="C20" s="18" t="s">
        <v>1533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1551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1552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1423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1553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1423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1554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1423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1555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1556</v>
      </c>
      <c r="B26" s="67"/>
      <c r="C26" s="18" t="s">
        <v>1533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1557</v>
      </c>
      <c r="B27" s="67">
        <v>25894152810</v>
      </c>
      <c r="C27" s="72" t="s">
        <v>1558</v>
      </c>
      <c r="D27" s="69">
        <v>8263008808</v>
      </c>
      <c r="E27" s="9">
        <v>292</v>
      </c>
      <c r="F27" s="25">
        <v>43168</v>
      </c>
      <c r="G27" s="70" t="s">
        <v>1423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1559</v>
      </c>
      <c r="B28" s="67">
        <v>43026389587</v>
      </c>
      <c r="C28" s="72" t="s">
        <v>1560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1561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1429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1562</v>
      </c>
      <c r="B30" s="67">
        <v>36531080809</v>
      </c>
      <c r="C30" s="72" t="s">
        <v>1563</v>
      </c>
      <c r="D30" s="69">
        <v>22485483892</v>
      </c>
      <c r="E30" s="9">
        <v>1489</v>
      </c>
      <c r="F30" s="25">
        <v>43038</v>
      </c>
      <c r="G30" s="70" t="s">
        <v>1423</v>
      </c>
      <c r="H30" s="9"/>
      <c r="I30" s="8"/>
      <c r="J30" s="8"/>
      <c r="K30" s="8"/>
      <c r="L30" s="9" t="s">
        <v>1564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1565</v>
      </c>
      <c r="B31" s="67">
        <v>28147186819</v>
      </c>
      <c r="C31" s="72" t="s">
        <v>1566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1567</v>
      </c>
      <c r="B32" s="67">
        <v>37559228860</v>
      </c>
      <c r="C32" s="72" t="s">
        <v>1568</v>
      </c>
      <c r="D32" s="69">
        <v>28072024892</v>
      </c>
      <c r="E32" s="9">
        <v>1555</v>
      </c>
      <c r="F32" s="25">
        <v>43049</v>
      </c>
      <c r="G32" s="9" t="s">
        <v>1423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1569</v>
      </c>
      <c r="B33" s="67">
        <v>23635229822</v>
      </c>
      <c r="C33" s="72" t="s">
        <v>1570</v>
      </c>
      <c r="D33" s="69">
        <v>21668057875</v>
      </c>
      <c r="E33" s="9">
        <v>262</v>
      </c>
      <c r="F33" s="25">
        <v>43160</v>
      </c>
      <c r="G33" s="70" t="s">
        <v>1423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1571</v>
      </c>
      <c r="B34" s="67"/>
      <c r="C34" s="29" t="s">
        <v>1533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1572</v>
      </c>
      <c r="B35" s="67">
        <v>40902634844</v>
      </c>
      <c r="C35" s="72" t="s">
        <v>1573</v>
      </c>
      <c r="D35" s="69">
        <v>23795007895</v>
      </c>
      <c r="E35" s="9">
        <v>117</v>
      </c>
      <c r="F35" s="25">
        <v>43117</v>
      </c>
      <c r="G35" s="70" t="s">
        <v>1423</v>
      </c>
      <c r="H35" s="25">
        <v>43151</v>
      </c>
      <c r="I35" s="8"/>
      <c r="J35" s="8"/>
      <c r="K35" s="8"/>
      <c r="L35" s="9" t="s">
        <v>1574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1575</v>
      </c>
      <c r="B36" s="67">
        <v>39615629898</v>
      </c>
      <c r="C36" s="72" t="s">
        <v>1576</v>
      </c>
      <c r="D36" s="69">
        <v>43328275894</v>
      </c>
      <c r="E36" s="9">
        <v>423</v>
      </c>
      <c r="F36" s="25">
        <v>43182</v>
      </c>
      <c r="G36" s="70" t="s">
        <v>1423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1577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1578</v>
      </c>
      <c r="B38" s="67"/>
      <c r="C38" s="29" t="s">
        <v>1579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1580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1423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1581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1423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1582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1423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1583</v>
      </c>
      <c r="B42" s="67">
        <v>10201704412</v>
      </c>
      <c r="C42" s="72" t="s">
        <v>1584</v>
      </c>
      <c r="D42" s="69">
        <v>33674895811</v>
      </c>
      <c r="E42" s="9">
        <v>262</v>
      </c>
      <c r="F42" s="25">
        <v>43160</v>
      </c>
      <c r="G42" s="70" t="s">
        <v>1423</v>
      </c>
      <c r="H42" s="25">
        <v>43164</v>
      </c>
      <c r="I42" s="8"/>
      <c r="J42" s="8"/>
      <c r="K42" s="8"/>
      <c r="L42" s="9">
        <v>255</v>
      </c>
      <c r="M42" s="8"/>
      <c r="O42" s="66" t="s">
        <v>1585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1586</v>
      </c>
      <c r="B43" s="67">
        <v>35271487873</v>
      </c>
      <c r="C43" s="68" t="s">
        <v>1587</v>
      </c>
      <c r="D43" s="69">
        <v>557351502</v>
      </c>
      <c r="E43" s="9">
        <v>1128</v>
      </c>
      <c r="F43" s="25">
        <v>42972</v>
      </c>
      <c r="G43" s="70" t="s">
        <v>1423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1588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1423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1589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1590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1423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1591</v>
      </c>
      <c r="B47" s="67">
        <v>31801479895</v>
      </c>
      <c r="C47" s="72" t="s">
        <v>1592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1593</v>
      </c>
      <c r="B48" s="67">
        <v>28638653824</v>
      </c>
      <c r="C48" s="72" t="s">
        <v>1594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1595</v>
      </c>
      <c r="B49" s="67">
        <v>17766101807</v>
      </c>
      <c r="C49" s="72" t="s">
        <v>1596</v>
      </c>
      <c r="D49" s="69">
        <v>31993041842</v>
      </c>
      <c r="E49" s="9">
        <v>1824</v>
      </c>
      <c r="F49" s="25">
        <v>43091</v>
      </c>
      <c r="G49" s="70" t="s">
        <v>1423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1597</v>
      </c>
      <c r="B50" s="67">
        <v>17902799840</v>
      </c>
      <c r="C50" s="72" t="s">
        <v>1598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1599</v>
      </c>
      <c r="B51" s="67">
        <v>49122403892</v>
      </c>
      <c r="C51" s="75" t="s">
        <v>1600</v>
      </c>
      <c r="D51" s="69">
        <v>1478139560</v>
      </c>
      <c r="E51" s="9">
        <v>608</v>
      </c>
      <c r="F51" s="25">
        <v>43012</v>
      </c>
      <c r="G51" s="70" t="s">
        <v>1423</v>
      </c>
      <c r="H51" s="25">
        <v>43024</v>
      </c>
      <c r="I51" s="8"/>
      <c r="J51" s="8"/>
      <c r="K51" s="8"/>
      <c r="L51" s="8"/>
      <c r="M51" s="8"/>
      <c r="O51" s="369" t="s">
        <v>1601</v>
      </c>
      <c r="P51" s="369"/>
      <c r="Q51" s="369"/>
      <c r="R51" s="369"/>
      <c r="S51" s="369"/>
      <c r="T51" s="369"/>
      <c r="U51" s="369"/>
    </row>
    <row r="52" spans="1:21" x14ac:dyDescent="0.25">
      <c r="A52" s="13" t="s">
        <v>1602</v>
      </c>
      <c r="B52" s="67">
        <v>37534302854</v>
      </c>
      <c r="C52" s="71" t="s">
        <v>1603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1604</v>
      </c>
      <c r="B53" s="67">
        <v>14699996841</v>
      </c>
      <c r="C53" s="68" t="s">
        <v>1605</v>
      </c>
      <c r="D53" s="69">
        <v>15089706883</v>
      </c>
      <c r="E53" s="9">
        <v>1128</v>
      </c>
      <c r="F53" s="25">
        <v>42972</v>
      </c>
      <c r="G53" s="70" t="s">
        <v>1423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1606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1607</v>
      </c>
      <c r="B55" s="67">
        <v>40396239838</v>
      </c>
      <c r="C55" s="72" t="s">
        <v>1608</v>
      </c>
      <c r="D55" s="69">
        <v>39420747883</v>
      </c>
      <c r="E55" s="9">
        <v>262</v>
      </c>
      <c r="F55" s="25">
        <v>43160</v>
      </c>
      <c r="G55" s="70" t="s">
        <v>1423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1609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1423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1610</v>
      </c>
      <c r="B57" s="67">
        <v>38781151802</v>
      </c>
      <c r="C57" s="18" t="s">
        <v>1533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1611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1612</v>
      </c>
      <c r="B59" s="67">
        <v>2428277219</v>
      </c>
      <c r="C59" s="72" t="s">
        <v>1613</v>
      </c>
      <c r="D59" s="69">
        <v>909805229</v>
      </c>
      <c r="E59" s="9">
        <v>810</v>
      </c>
      <c r="F59" s="25">
        <v>42915</v>
      </c>
      <c r="G59" s="70" t="s">
        <v>1423</v>
      </c>
      <c r="H59" s="25">
        <v>42921</v>
      </c>
      <c r="I59" s="8"/>
      <c r="J59" s="8"/>
      <c r="K59" s="8"/>
      <c r="L59" s="9" t="s">
        <v>1542</v>
      </c>
      <c r="M59" s="8"/>
    </row>
    <row r="60" spans="1:21" x14ac:dyDescent="0.25">
      <c r="A60" s="71" t="s">
        <v>1614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1615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1423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1616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1617</v>
      </c>
      <c r="B63" s="67">
        <v>3722493889</v>
      </c>
      <c r="C63" s="72" t="s">
        <v>1618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1619</v>
      </c>
      <c r="B64" s="67">
        <v>14519340845</v>
      </c>
      <c r="C64" s="72" t="s">
        <v>1620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1621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1622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1623</v>
      </c>
      <c r="B67" s="67">
        <v>36392955879</v>
      </c>
      <c r="C67" s="72" t="s">
        <v>1624</v>
      </c>
      <c r="D67" s="69">
        <v>5242864346</v>
      </c>
      <c r="E67" s="9">
        <v>117</v>
      </c>
      <c r="F67" s="25">
        <v>43117</v>
      </c>
      <c r="G67" s="70" t="s">
        <v>1423</v>
      </c>
      <c r="H67" s="25">
        <v>43151</v>
      </c>
      <c r="I67" s="8"/>
      <c r="J67" s="8"/>
      <c r="K67" s="8"/>
      <c r="L67" s="9" t="s">
        <v>1574</v>
      </c>
      <c r="M67" s="8"/>
    </row>
    <row r="68" spans="1:13" x14ac:dyDescent="0.25">
      <c r="A68" s="71" t="s">
        <v>1625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1423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1626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1627</v>
      </c>
      <c r="B70" s="67">
        <v>9882942490</v>
      </c>
      <c r="C70" s="18" t="s">
        <v>1628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1629</v>
      </c>
      <c r="B71" s="67">
        <v>14777572870</v>
      </c>
      <c r="C71" s="72" t="s">
        <v>1630</v>
      </c>
      <c r="D71" s="69">
        <v>12874739898</v>
      </c>
      <c r="E71" s="9">
        <v>1824</v>
      </c>
      <c r="F71" s="25">
        <v>43091</v>
      </c>
      <c r="G71" s="70" t="s">
        <v>1423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1631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1632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1423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1633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1423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1634</v>
      </c>
      <c r="B75" s="67">
        <v>26940268855</v>
      </c>
      <c r="C75" s="18" t="s">
        <v>1635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1636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1423</v>
      </c>
      <c r="H76" s="9"/>
      <c r="I76" s="8"/>
      <c r="J76" s="8"/>
      <c r="K76" s="8"/>
      <c r="L76" s="9" t="s">
        <v>1564</v>
      </c>
      <c r="M76" s="8"/>
    </row>
    <row r="77" spans="1:13" x14ac:dyDescent="0.25">
      <c r="A77" s="15" t="s">
        <v>1637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1423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1638</v>
      </c>
      <c r="B78" s="67">
        <v>42352732808</v>
      </c>
      <c r="C78" s="72" t="s">
        <v>1639</v>
      </c>
      <c r="D78" s="69">
        <v>281893373</v>
      </c>
      <c r="E78" s="9">
        <v>1214</v>
      </c>
      <c r="F78" s="25">
        <v>42989</v>
      </c>
      <c r="G78" s="70" t="s">
        <v>1423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1640</v>
      </c>
      <c r="B79" s="67">
        <v>13480043801</v>
      </c>
      <c r="C79" s="18" t="s">
        <v>1641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1642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1423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1643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1423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1644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1423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1645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1646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1647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1648</v>
      </c>
      <c r="B86" s="67">
        <v>43053250802</v>
      </c>
      <c r="C86" s="68" t="s">
        <v>1649</v>
      </c>
      <c r="D86" s="69">
        <v>35893147880</v>
      </c>
      <c r="E86" s="9">
        <v>1128</v>
      </c>
      <c r="F86" s="25">
        <v>42972</v>
      </c>
      <c r="G86" s="70" t="s">
        <v>1423</v>
      </c>
      <c r="H86" s="9"/>
      <c r="I86" s="8"/>
      <c r="J86" s="8"/>
      <c r="K86" s="8"/>
      <c r="L86" s="8"/>
      <c r="M86" s="8"/>
    </row>
    <row r="87" spans="1:13" x14ac:dyDescent="0.25">
      <c r="A87" s="71" t="s">
        <v>1650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1423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1651</v>
      </c>
      <c r="B88" s="67">
        <v>33617584837</v>
      </c>
      <c r="C88" s="72" t="s">
        <v>1652</v>
      </c>
      <c r="D88" s="69">
        <v>26520094862</v>
      </c>
      <c r="E88" s="9">
        <v>608</v>
      </c>
      <c r="F88" s="25">
        <v>43012</v>
      </c>
      <c r="G88" s="70" t="s">
        <v>1423</v>
      </c>
      <c r="H88" s="9"/>
      <c r="I88" s="8"/>
      <c r="J88" s="8"/>
      <c r="K88" s="8"/>
      <c r="L88" s="8"/>
      <c r="M88" s="8"/>
    </row>
    <row r="89" spans="1:13" x14ac:dyDescent="0.25">
      <c r="A89" s="14" t="s">
        <v>1653</v>
      </c>
      <c r="B89" s="67">
        <v>38168161858</v>
      </c>
      <c r="C89" s="72" t="s">
        <v>1654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1655</v>
      </c>
      <c r="B90" s="67">
        <v>38728353862</v>
      </c>
      <c r="C90" s="72" t="s">
        <v>1656</v>
      </c>
      <c r="D90" s="69">
        <v>37650358828</v>
      </c>
      <c r="E90" s="9">
        <v>1417</v>
      </c>
      <c r="F90" s="25">
        <v>43017</v>
      </c>
      <c r="G90" s="70" t="s">
        <v>1423</v>
      </c>
      <c r="H90" s="9"/>
      <c r="I90" s="8"/>
      <c r="J90" s="8"/>
      <c r="K90" s="8"/>
      <c r="L90" s="9" t="s">
        <v>1657</v>
      </c>
      <c r="M90" s="8"/>
    </row>
    <row r="91" spans="1:13" x14ac:dyDescent="0.25">
      <c r="A91" s="15" t="s">
        <v>1658</v>
      </c>
      <c r="B91" s="67">
        <v>29479419858</v>
      </c>
      <c r="C91" s="72" t="s">
        <v>1659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1660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1661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1423</v>
      </c>
      <c r="H93" s="9"/>
      <c r="I93" s="8"/>
      <c r="J93" s="8"/>
      <c r="K93" s="8"/>
      <c r="L93" s="8"/>
      <c r="M93" s="8"/>
    </row>
    <row r="94" spans="1:13" x14ac:dyDescent="0.25">
      <c r="A94" s="15" t="s">
        <v>1662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1423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1663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1664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1423</v>
      </c>
      <c r="H96" s="9"/>
      <c r="I96" s="8"/>
      <c r="J96" s="8"/>
      <c r="K96" s="8"/>
      <c r="L96" s="9" t="s">
        <v>1564</v>
      </c>
      <c r="M96" s="8"/>
    </row>
    <row r="97" spans="1:13" x14ac:dyDescent="0.25">
      <c r="A97" s="71" t="s">
        <v>1665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1423</v>
      </c>
      <c r="H97" s="9"/>
      <c r="I97" s="8"/>
      <c r="J97" s="8"/>
      <c r="K97" s="8"/>
      <c r="L97" s="8"/>
      <c r="M97" s="8"/>
    </row>
    <row r="98" spans="1:13" x14ac:dyDescent="0.25">
      <c r="A98" s="29" t="s">
        <v>1666</v>
      </c>
      <c r="B98" s="67">
        <v>3317260505</v>
      </c>
      <c r="C98" s="29" t="s">
        <v>1667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1668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1423</v>
      </c>
      <c r="H99" s="9"/>
      <c r="I99" s="8"/>
      <c r="J99" s="8"/>
      <c r="K99" s="8"/>
      <c r="L99" s="8"/>
      <c r="M99" s="8"/>
    </row>
    <row r="100" spans="1:13" x14ac:dyDescent="0.25">
      <c r="A100" s="15" t="s">
        <v>1669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1423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1670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1423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1671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1423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1672</v>
      </c>
      <c r="B103" s="67"/>
      <c r="C103" s="18" t="s">
        <v>1533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1673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1423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1674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1423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1675</v>
      </c>
      <c r="B106" s="67">
        <v>40823037827</v>
      </c>
      <c r="C106" s="72" t="s">
        <v>1676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1677</v>
      </c>
      <c r="B107" s="67">
        <v>54215625491</v>
      </c>
      <c r="C107" s="18" t="s">
        <v>1678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1679</v>
      </c>
      <c r="B108" s="67">
        <v>8424740807</v>
      </c>
      <c r="C108" s="18" t="s">
        <v>1533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1680</v>
      </c>
      <c r="B109" s="67">
        <v>78495857472</v>
      </c>
      <c r="C109" s="72" t="s">
        <v>1681</v>
      </c>
      <c r="D109" s="69">
        <v>148572863</v>
      </c>
      <c r="E109" s="9">
        <v>1752</v>
      </c>
      <c r="F109" s="25">
        <v>43051</v>
      </c>
      <c r="G109" s="70" t="s">
        <v>1423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1682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1683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1423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1684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1685</v>
      </c>
      <c r="B113" s="67">
        <v>44444325860</v>
      </c>
      <c r="C113" s="72" t="s">
        <v>1686</v>
      </c>
      <c r="D113" s="69">
        <v>36636133805</v>
      </c>
      <c r="E113" s="9">
        <v>292</v>
      </c>
      <c r="F113" s="25">
        <v>43168</v>
      </c>
      <c r="G113" s="70" t="s">
        <v>1423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1687</v>
      </c>
      <c r="B114" s="67">
        <v>39701017862</v>
      </c>
      <c r="C114" s="72" t="s">
        <v>1688</v>
      </c>
      <c r="D114" s="69">
        <v>38933316892</v>
      </c>
      <c r="E114" s="9">
        <v>1350</v>
      </c>
      <c r="F114" s="25">
        <v>43006</v>
      </c>
      <c r="G114" s="70" t="s">
        <v>1423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1689</v>
      </c>
      <c r="B115" s="67">
        <v>40003107809</v>
      </c>
      <c r="C115" s="72" t="s">
        <v>1690</v>
      </c>
      <c r="D115" s="69">
        <v>37929345823</v>
      </c>
      <c r="E115" s="9">
        <v>262</v>
      </c>
      <c r="F115" s="25">
        <v>43160</v>
      </c>
      <c r="G115" s="70" t="s">
        <v>1423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1691</v>
      </c>
      <c r="B116" s="67">
        <v>38786146831</v>
      </c>
      <c r="C116" s="29" t="s">
        <v>1692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1693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1437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1694</v>
      </c>
      <c r="B118" s="67">
        <v>3486705598</v>
      </c>
      <c r="C118" s="72" t="s">
        <v>1695</v>
      </c>
      <c r="D118" s="69">
        <v>3581817551</v>
      </c>
      <c r="E118" s="9">
        <v>1752</v>
      </c>
      <c r="F118" s="25">
        <v>43051</v>
      </c>
      <c r="G118" s="70" t="s">
        <v>1423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1696</v>
      </c>
      <c r="B119" s="67">
        <v>37051125893</v>
      </c>
      <c r="C119" s="72" t="s">
        <v>1697</v>
      </c>
      <c r="D119" s="69">
        <v>4303791458</v>
      </c>
      <c r="E119" s="9">
        <v>292</v>
      </c>
      <c r="F119" s="25">
        <v>43168</v>
      </c>
      <c r="G119" s="9" t="s">
        <v>1423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1698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1699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1700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1423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1701</v>
      </c>
      <c r="B123" s="67">
        <v>33879586845</v>
      </c>
      <c r="C123" s="77" t="s">
        <v>1702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1703</v>
      </c>
      <c r="M123" s="8"/>
    </row>
    <row r="124" spans="1:13" x14ac:dyDescent="0.25">
      <c r="A124" s="72" t="s">
        <v>1704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1705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1706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1423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1707</v>
      </c>
      <c r="B127" s="67">
        <v>15401963807</v>
      </c>
      <c r="C127" s="72" t="s">
        <v>1708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1709</v>
      </c>
      <c r="B128" s="67">
        <v>2022016351</v>
      </c>
      <c r="C128" s="72" t="s">
        <v>1710</v>
      </c>
      <c r="D128" s="69">
        <v>84914270315</v>
      </c>
      <c r="E128" s="9">
        <v>1106</v>
      </c>
      <c r="F128" s="25">
        <v>42965</v>
      </c>
      <c r="G128" s="70" t="s">
        <v>1423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1711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1712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1713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1423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1714</v>
      </c>
      <c r="B132" s="67">
        <v>1860886558</v>
      </c>
      <c r="C132" s="72" t="s">
        <v>1715</v>
      </c>
      <c r="D132" s="69">
        <v>35132798845</v>
      </c>
      <c r="E132" s="9">
        <v>229</v>
      </c>
      <c r="F132" s="25">
        <v>43151</v>
      </c>
      <c r="G132" s="70" t="s">
        <v>1423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1716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1423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1717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1718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1719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1423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1720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1423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1721</v>
      </c>
      <c r="B138" s="67">
        <v>42262731845</v>
      </c>
      <c r="C138" s="72" t="s">
        <v>1722</v>
      </c>
      <c r="D138" s="69">
        <v>34728432840</v>
      </c>
      <c r="E138" s="9">
        <v>1824</v>
      </c>
      <c r="F138" s="25">
        <v>43091</v>
      </c>
      <c r="G138" s="70" t="s">
        <v>1423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1723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1423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1724</v>
      </c>
      <c r="B140" s="67">
        <v>41446773892</v>
      </c>
      <c r="C140" s="72" t="s">
        <v>1725</v>
      </c>
      <c r="D140" s="69">
        <v>38180353850</v>
      </c>
      <c r="E140" s="9">
        <v>292</v>
      </c>
      <c r="F140" s="25">
        <v>43168</v>
      </c>
      <c r="G140" s="9" t="s">
        <v>1423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1726</v>
      </c>
      <c r="B141" s="67">
        <v>1436459354</v>
      </c>
      <c r="C141" s="72" t="s">
        <v>1727</v>
      </c>
      <c r="D141" s="69">
        <v>4149263310</v>
      </c>
      <c r="E141" s="9">
        <v>229</v>
      </c>
      <c r="F141" s="25">
        <v>43151</v>
      </c>
      <c r="G141" s="70" t="s">
        <v>1423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1728</v>
      </c>
      <c r="B142" s="67">
        <v>39953063818</v>
      </c>
      <c r="C142" s="29" t="s">
        <v>1729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1730</v>
      </c>
      <c r="B143" s="80">
        <v>15371893873</v>
      </c>
      <c r="C143" s="81" t="s">
        <v>1731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1732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1423</v>
      </c>
      <c r="H144" s="9"/>
      <c r="I144" s="8"/>
      <c r="J144" s="8"/>
      <c r="K144" s="8"/>
      <c r="L144" s="9" t="s">
        <v>1542</v>
      </c>
      <c r="M144" s="8"/>
    </row>
    <row r="145" spans="1:13" x14ac:dyDescent="0.25">
      <c r="A145" s="73" t="s">
        <v>1733</v>
      </c>
      <c r="B145" s="67">
        <v>50773453334</v>
      </c>
      <c r="C145" s="72" t="s">
        <v>1734</v>
      </c>
      <c r="D145" s="69">
        <v>51551365391</v>
      </c>
      <c r="E145" s="9">
        <v>1106</v>
      </c>
      <c r="F145" s="25">
        <v>42965</v>
      </c>
      <c r="G145" s="70" t="s">
        <v>1429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1735</v>
      </c>
      <c r="B146" s="67">
        <v>37805884803</v>
      </c>
      <c r="C146" s="72" t="s">
        <v>1736</v>
      </c>
      <c r="D146" s="69">
        <v>35792474842</v>
      </c>
      <c r="E146" s="9">
        <v>262</v>
      </c>
      <c r="F146" s="25">
        <v>43160</v>
      </c>
      <c r="G146" s="9" t="s">
        <v>1423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1737</v>
      </c>
      <c r="B147" s="67">
        <v>38072219804</v>
      </c>
      <c r="C147" s="72" t="s">
        <v>1738</v>
      </c>
      <c r="D147" s="69">
        <v>37125330800</v>
      </c>
      <c r="E147" s="9">
        <v>292</v>
      </c>
      <c r="F147" s="25">
        <v>43168</v>
      </c>
      <c r="G147" s="70" t="s">
        <v>1423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1739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1423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1740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1741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1423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1742</v>
      </c>
      <c r="B151" s="67">
        <v>31476352879</v>
      </c>
      <c r="C151" s="72" t="s">
        <v>1743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1744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1423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1745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1423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1746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1747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1748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1749</v>
      </c>
      <c r="B157" s="67">
        <v>86665944468</v>
      </c>
      <c r="C157" s="72" t="s">
        <v>1750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1751</v>
      </c>
      <c r="B158" s="67">
        <v>39747831805</v>
      </c>
      <c r="C158" s="72" t="s">
        <v>1752</v>
      </c>
      <c r="D158" s="69">
        <v>1202056458</v>
      </c>
      <c r="E158" s="9">
        <v>292</v>
      </c>
      <c r="F158" s="25">
        <v>43168</v>
      </c>
      <c r="G158" s="70" t="s">
        <v>1423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1753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1423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1754</v>
      </c>
      <c r="B160" s="67"/>
      <c r="C160" s="29" t="s">
        <v>1755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1756</v>
      </c>
      <c r="B161" s="67">
        <v>38107907884</v>
      </c>
      <c r="C161" s="72" t="s">
        <v>1757</v>
      </c>
      <c r="D161" s="69">
        <v>8669747685</v>
      </c>
      <c r="E161" s="9">
        <v>117</v>
      </c>
      <c r="F161" s="25">
        <v>43117</v>
      </c>
      <c r="G161" s="70" t="s">
        <v>1423</v>
      </c>
      <c r="H161" s="9"/>
      <c r="I161" s="8"/>
      <c r="J161" s="8"/>
      <c r="K161" s="8"/>
      <c r="L161" s="9" t="s">
        <v>1574</v>
      </c>
      <c r="M161" s="8"/>
    </row>
    <row r="162" spans="1:13" x14ac:dyDescent="0.25">
      <c r="A162" s="29" t="s">
        <v>1758</v>
      </c>
      <c r="B162" s="67">
        <v>24759436880</v>
      </c>
      <c r="C162" s="29" t="s">
        <v>1759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1760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1423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1761</v>
      </c>
      <c r="B164" s="67">
        <v>22537971892</v>
      </c>
      <c r="C164" s="29" t="s">
        <v>1762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1763</v>
      </c>
      <c r="B165" s="67">
        <v>31362502812</v>
      </c>
      <c r="C165" s="72" t="s">
        <v>1764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1765</v>
      </c>
      <c r="B166" s="67">
        <v>4625640539</v>
      </c>
      <c r="C166" s="18" t="s">
        <v>1766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1767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1423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1768</v>
      </c>
      <c r="B168" s="67">
        <v>22234108802</v>
      </c>
      <c r="C168" s="72" t="s">
        <v>1769</v>
      </c>
      <c r="D168" s="69"/>
      <c r="E168" s="9"/>
      <c r="F168" s="25"/>
      <c r="G168" s="70" t="s">
        <v>1423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1770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1771</v>
      </c>
      <c r="B170" s="67">
        <v>182316599</v>
      </c>
      <c r="C170" s="72" t="s">
        <v>1772</v>
      </c>
      <c r="D170" s="69">
        <v>73673560549</v>
      </c>
      <c r="E170" s="9">
        <v>292</v>
      </c>
      <c r="F170" s="25">
        <v>43168</v>
      </c>
      <c r="G170" s="9" t="s">
        <v>1423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1773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1423</v>
      </c>
      <c r="H171" s="9"/>
      <c r="I171" s="8">
        <v>117</v>
      </c>
      <c r="J171" s="26">
        <v>43117</v>
      </c>
      <c r="K171" s="26">
        <v>43151</v>
      </c>
      <c r="L171" s="9" t="s">
        <v>1657</v>
      </c>
      <c r="M171" s="26"/>
    </row>
    <row r="172" spans="1:13" x14ac:dyDescent="0.25">
      <c r="A172" s="71" t="s">
        <v>1774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1423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1775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1423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1776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1777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1423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1778</v>
      </c>
      <c r="B176" s="67">
        <v>36777190899</v>
      </c>
      <c r="C176" s="72" t="s">
        <v>1779</v>
      </c>
      <c r="D176" s="69">
        <v>37104057854</v>
      </c>
      <c r="E176" s="9">
        <v>810</v>
      </c>
      <c r="F176" s="25">
        <v>42915</v>
      </c>
      <c r="G176" s="70" t="s">
        <v>1423</v>
      </c>
      <c r="H176" s="9"/>
      <c r="I176" s="8"/>
      <c r="J176" s="8"/>
      <c r="K176" s="8"/>
      <c r="L176" s="9" t="s">
        <v>1542</v>
      </c>
      <c r="M176" s="8"/>
    </row>
    <row r="177" spans="1:13" x14ac:dyDescent="0.25">
      <c r="A177" s="15" t="s">
        <v>1780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1423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1781</v>
      </c>
      <c r="B178" s="67">
        <v>32428102877</v>
      </c>
      <c r="C178" s="72" t="s">
        <v>1782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1783</v>
      </c>
      <c r="B179" s="67">
        <v>28640229821</v>
      </c>
      <c r="C179" s="72" t="s">
        <v>1784</v>
      </c>
      <c r="D179" s="69">
        <v>7752420808</v>
      </c>
      <c r="E179" s="9">
        <v>1106</v>
      </c>
      <c r="F179" s="25">
        <v>42965</v>
      </c>
      <c r="G179" s="70" t="s">
        <v>1423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1785</v>
      </c>
      <c r="B180" s="67">
        <v>38122976808</v>
      </c>
      <c r="C180" s="29" t="s">
        <v>1786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1787</v>
      </c>
      <c r="B181" s="67">
        <v>41494645882</v>
      </c>
      <c r="C181" s="72" t="s">
        <v>1788</v>
      </c>
      <c r="D181" s="69">
        <v>23413130862</v>
      </c>
      <c r="E181" s="9">
        <v>1824</v>
      </c>
      <c r="F181" s="25">
        <v>43091</v>
      </c>
      <c r="G181" s="70" t="s">
        <v>1423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1789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1423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1790</v>
      </c>
      <c r="B183" s="67">
        <v>32882437846</v>
      </c>
      <c r="C183" s="77" t="s">
        <v>1791</v>
      </c>
      <c r="D183" s="69" t="s">
        <v>1792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1793</v>
      </c>
      <c r="B184" s="67">
        <v>40733908802</v>
      </c>
      <c r="C184" s="72" t="s">
        <v>1794</v>
      </c>
      <c r="D184" s="69"/>
      <c r="E184" s="9">
        <v>1128</v>
      </c>
      <c r="F184" s="25">
        <v>42972</v>
      </c>
      <c r="G184" s="70" t="s">
        <v>1423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1795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1796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1423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1797</v>
      </c>
      <c r="B187" s="67">
        <v>32321499877</v>
      </c>
      <c r="C187" s="72" t="s">
        <v>1798</v>
      </c>
      <c r="D187" s="69">
        <v>4788348373</v>
      </c>
      <c r="E187" s="9">
        <v>292</v>
      </c>
      <c r="F187" s="25">
        <v>43168</v>
      </c>
      <c r="G187" s="70" t="s">
        <v>1423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1799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1423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1800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1423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1801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1437</v>
      </c>
      <c r="H190" s="9"/>
      <c r="I190" s="8"/>
      <c r="J190" s="8"/>
      <c r="K190" s="8"/>
      <c r="L190" s="9" t="s">
        <v>1802</v>
      </c>
      <c r="M190" s="8"/>
    </row>
    <row r="191" spans="1:13" x14ac:dyDescent="0.25">
      <c r="A191" s="13" t="s">
        <v>1803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1423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1804</v>
      </c>
      <c r="B192" s="67">
        <v>16700300835</v>
      </c>
      <c r="C192" s="72" t="s">
        <v>1805</v>
      </c>
      <c r="D192" s="69">
        <v>28699951809</v>
      </c>
      <c r="E192" s="9">
        <v>262</v>
      </c>
      <c r="F192" s="25">
        <v>43160</v>
      </c>
      <c r="G192" s="70" t="s">
        <v>1423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1806</v>
      </c>
      <c r="B193" s="67">
        <v>33595120817</v>
      </c>
      <c r="C193" s="68" t="s">
        <v>1807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1808</v>
      </c>
      <c r="B194" s="67">
        <v>40386203873</v>
      </c>
      <c r="C194" s="68" t="s">
        <v>1809</v>
      </c>
      <c r="D194" s="69">
        <v>27988479822</v>
      </c>
      <c r="E194" s="9">
        <v>1128</v>
      </c>
      <c r="F194" s="25">
        <v>42972</v>
      </c>
      <c r="G194" s="70" t="s">
        <v>1423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1810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1811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1812</v>
      </c>
      <c r="B197" s="67">
        <v>23473254851</v>
      </c>
      <c r="C197" s="72" t="s">
        <v>1813</v>
      </c>
      <c r="D197" s="69">
        <v>32944503898</v>
      </c>
      <c r="E197" s="9">
        <v>85</v>
      </c>
      <c r="F197" s="25">
        <v>43109</v>
      </c>
      <c r="G197" s="70" t="s">
        <v>1423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1814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1423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1815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1423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1816</v>
      </c>
      <c r="B200" s="67">
        <v>2218915871</v>
      </c>
      <c r="C200" s="72" t="s">
        <v>1817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1818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1819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1820</v>
      </c>
      <c r="B203" s="67">
        <v>31793836825</v>
      </c>
      <c r="C203" s="72" t="s">
        <v>1821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1822</v>
      </c>
      <c r="B204" s="67">
        <v>41307266843</v>
      </c>
      <c r="C204" s="18" t="s">
        <v>1823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1824</v>
      </c>
      <c r="B205" s="67">
        <v>96683295549</v>
      </c>
      <c r="C205" s="72"/>
      <c r="D205" s="69"/>
      <c r="E205" s="9"/>
      <c r="F205" s="25"/>
      <c r="G205" s="70" t="s">
        <v>1423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1825</v>
      </c>
      <c r="B206" s="67">
        <v>18965913888</v>
      </c>
      <c r="C206" s="72" t="s">
        <v>1826</v>
      </c>
      <c r="D206" s="69">
        <v>30385646801</v>
      </c>
      <c r="E206" s="9">
        <v>117</v>
      </c>
      <c r="F206" s="25">
        <v>43117</v>
      </c>
      <c r="G206" s="70" t="s">
        <v>1423</v>
      </c>
      <c r="H206" s="9"/>
      <c r="I206" s="8"/>
      <c r="J206" s="8"/>
      <c r="K206" s="8"/>
      <c r="L206" s="9" t="s">
        <v>1574</v>
      </c>
      <c r="M206" s="8"/>
    </row>
    <row r="207" spans="1:13" x14ac:dyDescent="0.25">
      <c r="A207" s="29" t="s">
        <v>1827</v>
      </c>
      <c r="B207" s="67">
        <v>52371501875</v>
      </c>
      <c r="C207" s="18" t="s">
        <v>1533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1828</v>
      </c>
      <c r="B208" s="67"/>
      <c r="C208" s="18" t="s">
        <v>1533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1829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1830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1831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1429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1832</v>
      </c>
      <c r="B212" s="67">
        <v>25897391840</v>
      </c>
      <c r="C212" s="72" t="s">
        <v>1833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1834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1835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1836</v>
      </c>
      <c r="B215" s="67">
        <v>32841222810</v>
      </c>
      <c r="C215" s="72" t="s">
        <v>1837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1838</v>
      </c>
      <c r="B216" s="67">
        <v>32242692860</v>
      </c>
      <c r="C216" s="72" t="s">
        <v>1839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1840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1841</v>
      </c>
      <c r="B218" s="67">
        <v>35157366892</v>
      </c>
      <c r="C218" s="72" t="s">
        <v>1842</v>
      </c>
      <c r="D218" s="69">
        <v>7540659440</v>
      </c>
      <c r="E218" s="9">
        <v>262</v>
      </c>
      <c r="F218" s="25">
        <v>43160</v>
      </c>
      <c r="G218" s="70" t="s">
        <v>1423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1843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1423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1844</v>
      </c>
      <c r="B220" s="67">
        <v>86052484594</v>
      </c>
      <c r="C220" s="72" t="s">
        <v>1845</v>
      </c>
      <c r="D220" s="69">
        <v>5551698556</v>
      </c>
      <c r="E220" s="9">
        <v>117</v>
      </c>
      <c r="F220" s="25">
        <v>43117</v>
      </c>
      <c r="G220" s="70" t="s">
        <v>1423</v>
      </c>
      <c r="H220" s="70"/>
      <c r="I220" s="8"/>
      <c r="J220" s="8"/>
      <c r="K220" s="8"/>
      <c r="L220" s="9" t="s">
        <v>1574</v>
      </c>
      <c r="M220" s="8"/>
    </row>
    <row r="221" spans="1:13" x14ac:dyDescent="0.25">
      <c r="A221" s="15" t="s">
        <v>1846</v>
      </c>
      <c r="B221" s="67">
        <v>32193061874</v>
      </c>
      <c r="C221" s="72" t="s">
        <v>1847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1848</v>
      </c>
      <c r="B222" s="67">
        <v>32729382810</v>
      </c>
      <c r="C222" s="29" t="s">
        <v>1849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1850</v>
      </c>
      <c r="B223" s="67">
        <v>32554462879</v>
      </c>
      <c r="C223" s="72" t="s">
        <v>1851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1852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1853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1854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1855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1423</v>
      </c>
      <c r="H227" s="70"/>
      <c r="I227" s="8"/>
      <c r="J227" s="8"/>
      <c r="K227" s="8"/>
      <c r="L227" s="9" t="s">
        <v>1542</v>
      </c>
      <c r="M227" s="8"/>
    </row>
    <row r="228" spans="1:13" x14ac:dyDescent="0.25">
      <c r="A228" s="72" t="s">
        <v>1856</v>
      </c>
      <c r="B228" s="67">
        <v>39961258878</v>
      </c>
      <c r="C228" s="72" t="s">
        <v>1857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1858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1859</v>
      </c>
      <c r="B230" s="67">
        <v>35719819878</v>
      </c>
      <c r="C230" s="72" t="s">
        <v>1860</v>
      </c>
      <c r="D230" s="69">
        <v>11407737473</v>
      </c>
      <c r="E230" s="9">
        <v>1214</v>
      </c>
      <c r="F230" s="25">
        <v>42989</v>
      </c>
      <c r="G230" s="70" t="s">
        <v>1423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1861</v>
      </c>
      <c r="B231" s="67">
        <v>45813645829</v>
      </c>
      <c r="C231" s="68" t="s">
        <v>1862</v>
      </c>
      <c r="D231" s="69">
        <v>40890894841</v>
      </c>
      <c r="E231" s="9">
        <v>1752</v>
      </c>
      <c r="F231" s="25">
        <v>43051</v>
      </c>
      <c r="G231" s="70" t="s">
        <v>1423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1863</v>
      </c>
      <c r="B232" s="67">
        <v>43811085824</v>
      </c>
      <c r="C232" s="15" t="s">
        <v>1864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1865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1703</v>
      </c>
      <c r="M233" s="8"/>
    </row>
    <row r="234" spans="1:13" x14ac:dyDescent="0.25">
      <c r="A234" s="29" t="s">
        <v>1866</v>
      </c>
      <c r="B234" s="67"/>
      <c r="C234" s="18" t="s">
        <v>1533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1867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1868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1423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1869</v>
      </c>
      <c r="B237" s="67">
        <v>86221152593</v>
      </c>
      <c r="C237" s="72" t="s">
        <v>1870</v>
      </c>
      <c r="D237" s="69">
        <v>3688414560</v>
      </c>
      <c r="E237" s="9">
        <v>1214</v>
      </c>
      <c r="F237" s="25">
        <v>42989</v>
      </c>
      <c r="G237" s="70" t="s">
        <v>1423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1871</v>
      </c>
      <c r="B238" s="67">
        <v>5918222456</v>
      </c>
      <c r="C238" s="72" t="s">
        <v>1872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1873</v>
      </c>
      <c r="B239" s="67">
        <v>37239200809</v>
      </c>
      <c r="C239" s="72" t="s">
        <v>1874</v>
      </c>
      <c r="D239" s="69">
        <v>36014828869</v>
      </c>
      <c r="E239" s="9">
        <v>1350</v>
      </c>
      <c r="F239" s="25">
        <v>43006</v>
      </c>
      <c r="G239" s="70" t="s">
        <v>1423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1875</v>
      </c>
      <c r="B240" s="67">
        <v>6620279813</v>
      </c>
      <c r="C240" s="72" t="s">
        <v>1876</v>
      </c>
      <c r="D240" s="69">
        <v>18461089855</v>
      </c>
      <c r="E240" s="9">
        <v>1824</v>
      </c>
      <c r="F240" s="25">
        <v>43091</v>
      </c>
      <c r="G240" s="70" t="s">
        <v>1423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1877</v>
      </c>
      <c r="B241" s="67">
        <v>11805424874</v>
      </c>
      <c r="C241" s="77" t="s">
        <v>1878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1879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1423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1880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1423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1881</v>
      </c>
      <c r="B244" s="67">
        <v>34001342871</v>
      </c>
      <c r="C244" s="18" t="s">
        <v>1882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1883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1423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1884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1885</v>
      </c>
      <c r="B247" s="67">
        <v>1308082533</v>
      </c>
      <c r="C247" s="72" t="s">
        <v>1886</v>
      </c>
      <c r="D247" s="69">
        <v>73690139520</v>
      </c>
      <c r="E247" s="9">
        <v>262</v>
      </c>
      <c r="F247" s="25">
        <v>43160</v>
      </c>
      <c r="G247" s="70" t="s">
        <v>1423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1887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1423</v>
      </c>
      <c r="H248" s="70"/>
      <c r="I248" s="8"/>
      <c r="J248" s="8"/>
      <c r="K248" s="8"/>
      <c r="L248" s="9" t="s">
        <v>1574</v>
      </c>
      <c r="M248" s="8"/>
    </row>
    <row r="249" spans="1:13" x14ac:dyDescent="0.25">
      <c r="A249" s="71" t="s">
        <v>1888</v>
      </c>
      <c r="B249" s="67">
        <v>4068496846</v>
      </c>
      <c r="C249" s="72" t="s">
        <v>1889</v>
      </c>
      <c r="D249" s="69">
        <v>26922524896</v>
      </c>
      <c r="E249" s="9">
        <v>1752</v>
      </c>
      <c r="F249" s="25">
        <v>43051</v>
      </c>
      <c r="G249" s="70" t="s">
        <v>1423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1890</v>
      </c>
      <c r="B250" s="67">
        <v>92175163849</v>
      </c>
      <c r="C250" s="72" t="s">
        <v>1891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1892</v>
      </c>
      <c r="B251" s="67">
        <v>76906388304</v>
      </c>
      <c r="C251" s="18" t="s">
        <v>1893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1894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1423</v>
      </c>
      <c r="H252" s="70"/>
      <c r="I252" s="8"/>
      <c r="J252" s="8"/>
      <c r="K252" s="8"/>
      <c r="L252" s="9" t="s">
        <v>1574</v>
      </c>
      <c r="M252" s="8"/>
    </row>
    <row r="253" spans="1:13" x14ac:dyDescent="0.25">
      <c r="A253" s="71" t="s">
        <v>1895</v>
      </c>
      <c r="B253" s="67">
        <v>2925106323</v>
      </c>
      <c r="C253" s="72" t="s">
        <v>1896</v>
      </c>
      <c r="D253" s="69">
        <v>16131378851</v>
      </c>
      <c r="E253" s="9">
        <v>1214</v>
      </c>
      <c r="F253" s="25">
        <v>42989</v>
      </c>
      <c r="G253" s="70" t="s">
        <v>1423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1897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1423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1898</v>
      </c>
      <c r="B255" s="67">
        <v>30871120895</v>
      </c>
      <c r="C255" s="68" t="s">
        <v>1899</v>
      </c>
      <c r="D255" s="69">
        <v>7635106457</v>
      </c>
      <c r="E255" s="9">
        <v>1241</v>
      </c>
      <c r="F255" s="25">
        <v>42992</v>
      </c>
      <c r="G255" s="70" t="s">
        <v>1423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1900</v>
      </c>
      <c r="B256" s="67">
        <v>32016102837</v>
      </c>
      <c r="C256" s="72" t="s">
        <v>1901</v>
      </c>
      <c r="D256" s="69">
        <v>25077406553</v>
      </c>
      <c r="E256" s="9">
        <v>292</v>
      </c>
      <c r="F256" s="25">
        <v>43168</v>
      </c>
      <c r="G256" s="70" t="s">
        <v>1423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1902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1903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1904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1905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1423</v>
      </c>
      <c r="H260" s="70"/>
      <c r="I260" s="8"/>
      <c r="J260" s="8"/>
      <c r="K260" s="8"/>
      <c r="L260" s="9" t="s">
        <v>1906</v>
      </c>
      <c r="M260" s="8"/>
    </row>
    <row r="261" spans="1:13" x14ac:dyDescent="0.25">
      <c r="A261" s="15" t="s">
        <v>1907</v>
      </c>
      <c r="B261" s="67">
        <v>18856620847</v>
      </c>
      <c r="C261" s="72" t="s">
        <v>1908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1909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1910</v>
      </c>
      <c r="B263" s="67">
        <v>2766966382</v>
      </c>
      <c r="C263" s="72" t="s">
        <v>1911</v>
      </c>
      <c r="D263" s="69">
        <v>2385838303</v>
      </c>
      <c r="E263" s="9">
        <v>262</v>
      </c>
      <c r="F263" s="25">
        <v>43160</v>
      </c>
      <c r="G263" s="70" t="s">
        <v>1423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1912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1913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1423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1914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1423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1915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1423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1916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1423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1917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1423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1918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1919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1423</v>
      </c>
      <c r="H271" s="70"/>
      <c r="I271" s="8"/>
      <c r="J271" s="8"/>
      <c r="K271" s="8"/>
      <c r="L271" s="9" t="s">
        <v>1564</v>
      </c>
      <c r="M271" s="8"/>
    </row>
    <row r="272" spans="1:13" x14ac:dyDescent="0.25">
      <c r="A272" s="71" t="s">
        <v>1920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1921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1423</v>
      </c>
      <c r="H273" s="70"/>
      <c r="I273" s="8"/>
      <c r="J273" s="8"/>
      <c r="K273" s="8"/>
      <c r="L273" s="9" t="s">
        <v>1564</v>
      </c>
      <c r="M273" s="8"/>
    </row>
    <row r="274" spans="1:13" x14ac:dyDescent="0.25">
      <c r="A274" s="71" t="s">
        <v>1922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1423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1923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1924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1423</v>
      </c>
      <c r="H276" s="70"/>
      <c r="I276" s="8"/>
      <c r="J276" s="8"/>
      <c r="K276" s="8"/>
      <c r="L276" s="9" t="s">
        <v>1542</v>
      </c>
      <c r="M276" s="8"/>
    </row>
    <row r="277" spans="1:13" x14ac:dyDescent="0.25">
      <c r="A277" s="13" t="s">
        <v>1925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1926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1423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1927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1928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1423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1929</v>
      </c>
      <c r="B281" s="67">
        <v>5261128838</v>
      </c>
      <c r="C281" s="72" t="s">
        <v>1930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1931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1932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1933</v>
      </c>
      <c r="B284" s="67"/>
      <c r="C284" s="29" t="s">
        <v>1533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1934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1423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1935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1936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1423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1937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1423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1938</v>
      </c>
      <c r="B289" s="67">
        <v>80117694304</v>
      </c>
      <c r="C289" s="72" t="s">
        <v>1939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1940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1941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1942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1943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1944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1423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1945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1423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1946</v>
      </c>
      <c r="B296" s="67">
        <v>34227913888</v>
      </c>
      <c r="C296" s="72" t="s">
        <v>1947</v>
      </c>
      <c r="D296" s="69">
        <v>22306586896</v>
      </c>
      <c r="E296" s="9">
        <v>1214</v>
      </c>
      <c r="F296" s="25">
        <v>42989</v>
      </c>
      <c r="G296" s="70" t="s">
        <v>1423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1948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1423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1949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1429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1950</v>
      </c>
      <c r="B299" s="67">
        <v>33547844827</v>
      </c>
      <c r="C299" s="72" t="s">
        <v>1951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1952</v>
      </c>
      <c r="B300" s="67"/>
      <c r="C300" s="18" t="s">
        <v>1533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1953</v>
      </c>
      <c r="B301" s="67">
        <v>5212801842</v>
      </c>
      <c r="C301" s="72" t="s">
        <v>1954</v>
      </c>
      <c r="D301" s="69">
        <v>7101207880</v>
      </c>
      <c r="E301" s="9">
        <v>262</v>
      </c>
      <c r="F301" s="25">
        <v>43160</v>
      </c>
      <c r="G301" s="70" t="s">
        <v>1423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1955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1423</v>
      </c>
      <c r="H302" s="9"/>
      <c r="I302" s="8"/>
      <c r="J302" s="8"/>
      <c r="K302" s="8"/>
      <c r="L302" s="9" t="s">
        <v>1542</v>
      </c>
      <c r="M302" s="8"/>
    </row>
    <row r="303" spans="1:13" x14ac:dyDescent="0.25">
      <c r="A303" s="71" t="s">
        <v>1956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1423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1957</v>
      </c>
      <c r="B304" s="67"/>
      <c r="C304" s="29" t="s">
        <v>1958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1959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1423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1960</v>
      </c>
      <c r="B306" s="67">
        <v>43257974833</v>
      </c>
      <c r="C306" s="18" t="s">
        <v>1533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1961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1423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1962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1963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1423</v>
      </c>
      <c r="H309" s="9"/>
      <c r="I309" s="8"/>
      <c r="J309" s="8"/>
      <c r="K309" s="8"/>
      <c r="L309" s="9" t="s">
        <v>1542</v>
      </c>
      <c r="M309" s="8"/>
    </row>
    <row r="310" spans="1:13" x14ac:dyDescent="0.25">
      <c r="A310" s="13" t="s">
        <v>1964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1423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1965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1423</v>
      </c>
      <c r="H311" s="9"/>
      <c r="I311" s="8"/>
      <c r="J311" s="8"/>
      <c r="K311" s="8"/>
      <c r="L311" s="9" t="s">
        <v>1564</v>
      </c>
      <c r="M311" s="8"/>
    </row>
    <row r="312" spans="1:13" x14ac:dyDescent="0.25">
      <c r="A312" s="18" t="s">
        <v>1966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1967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1423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1968</v>
      </c>
      <c r="B314" s="67">
        <v>56647751300</v>
      </c>
      <c r="C314" s="72" t="s">
        <v>1969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1970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1423</v>
      </c>
      <c r="H315" s="9"/>
      <c r="I315" s="8"/>
      <c r="J315" s="8"/>
      <c r="K315" s="8"/>
      <c r="L315" s="9" t="s">
        <v>1564</v>
      </c>
      <c r="M315" s="8"/>
    </row>
    <row r="316" spans="1:13" x14ac:dyDescent="0.25">
      <c r="A316" s="71" t="s">
        <v>1971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1972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1423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1973</v>
      </c>
      <c r="B318" s="67">
        <v>42049249802</v>
      </c>
      <c r="C318" s="72" t="s">
        <v>1974</v>
      </c>
      <c r="D318" s="69">
        <v>22669338844</v>
      </c>
      <c r="E318" s="9">
        <v>1267</v>
      </c>
      <c r="F318" s="25">
        <v>42998</v>
      </c>
      <c r="G318" s="70" t="s">
        <v>1423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1975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1423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1976</v>
      </c>
      <c r="B320" s="67">
        <v>1863847502</v>
      </c>
      <c r="C320" s="72" t="s">
        <v>1977</v>
      </c>
      <c r="D320" s="69">
        <v>1636882579</v>
      </c>
      <c r="E320" s="9">
        <v>292</v>
      </c>
      <c r="F320" s="25">
        <v>43168</v>
      </c>
      <c r="G320" s="70" t="s">
        <v>1423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1978</v>
      </c>
      <c r="B321" s="67">
        <v>24759459820</v>
      </c>
      <c r="C321" s="18" t="s">
        <v>1979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1980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1423</v>
      </c>
      <c r="H322" s="9"/>
      <c r="I322" s="8"/>
      <c r="J322" s="8"/>
      <c r="K322" s="8"/>
      <c r="L322" s="9" t="s">
        <v>1802</v>
      </c>
      <c r="M322" s="8"/>
    </row>
    <row r="323" spans="1:13" x14ac:dyDescent="0.25">
      <c r="A323" s="29" t="s">
        <v>1981</v>
      </c>
      <c r="B323" s="67"/>
      <c r="C323" s="18" t="s">
        <v>1533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1982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1423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1983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1984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1423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1985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1986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1987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1423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1988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1423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1989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1423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1990</v>
      </c>
      <c r="B332" s="67">
        <v>43830821816</v>
      </c>
      <c r="C332" s="72" t="s">
        <v>1991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1992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1437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1993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1994</v>
      </c>
      <c r="B335" s="67">
        <v>26501719879</v>
      </c>
      <c r="C335" s="75" t="s">
        <v>1995</v>
      </c>
      <c r="D335" s="69">
        <v>26502973876</v>
      </c>
      <c r="E335" s="9">
        <v>1106</v>
      </c>
      <c r="F335" s="25">
        <v>42965</v>
      </c>
      <c r="G335" s="70" t="s">
        <v>1423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1996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1423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1997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1998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1423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1999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2000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2001</v>
      </c>
      <c r="B341" s="67">
        <v>33603802829</v>
      </c>
      <c r="C341" s="72" t="s">
        <v>2002</v>
      </c>
      <c r="D341" s="69">
        <v>26302620813</v>
      </c>
      <c r="E341" s="9">
        <v>1262</v>
      </c>
      <c r="F341" s="25">
        <v>42997</v>
      </c>
      <c r="G341" s="70" t="s">
        <v>1423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2003</v>
      </c>
      <c r="B342" s="67">
        <v>23802013824</v>
      </c>
      <c r="C342" s="72" t="s">
        <v>2004</v>
      </c>
      <c r="D342" s="69">
        <v>23099249890</v>
      </c>
      <c r="E342" s="9">
        <v>1489</v>
      </c>
      <c r="F342" s="25">
        <v>43038</v>
      </c>
      <c r="G342" s="70" t="s">
        <v>1423</v>
      </c>
      <c r="H342" s="9"/>
      <c r="I342" s="8"/>
      <c r="J342" s="8"/>
      <c r="K342" s="8"/>
      <c r="L342" s="9" t="s">
        <v>1564</v>
      </c>
      <c r="M342" s="8"/>
    </row>
    <row r="343" spans="1:13" x14ac:dyDescent="0.25">
      <c r="A343" s="71" t="s">
        <v>2005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2006</v>
      </c>
      <c r="B344" s="67">
        <v>39348497847</v>
      </c>
      <c r="C344" s="72" t="s">
        <v>2007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2008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1423</v>
      </c>
      <c r="H345" s="9"/>
      <c r="I345" s="8"/>
      <c r="J345" s="8"/>
      <c r="K345" s="8"/>
      <c r="L345" s="9" t="s">
        <v>1564</v>
      </c>
      <c r="M345" s="8"/>
    </row>
    <row r="346" spans="1:13" x14ac:dyDescent="0.25">
      <c r="A346" s="71" t="s">
        <v>2009</v>
      </c>
      <c r="B346" s="67">
        <v>46102945832</v>
      </c>
      <c r="C346" s="72" t="s">
        <v>2010</v>
      </c>
      <c r="D346" s="69">
        <v>48110319890</v>
      </c>
      <c r="E346" s="9">
        <v>262</v>
      </c>
      <c r="F346" s="25">
        <v>43160</v>
      </c>
      <c r="G346" s="70" t="s">
        <v>1423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2011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1423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2012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2013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1437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2014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1423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2015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2016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1423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2017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1423</v>
      </c>
      <c r="H353" s="9"/>
      <c r="I353" s="8"/>
      <c r="J353" s="8"/>
      <c r="K353" s="8"/>
      <c r="L353" s="9" t="s">
        <v>1657</v>
      </c>
      <c r="M353" s="8"/>
    </row>
    <row r="354" spans="1:13" x14ac:dyDescent="0.25">
      <c r="A354" s="15" t="s">
        <v>2018</v>
      </c>
      <c r="B354" s="67">
        <v>37738978805</v>
      </c>
      <c r="C354" s="15" t="s">
        <v>2019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2020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2021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2022</v>
      </c>
      <c r="B357" s="67">
        <v>37439665813</v>
      </c>
      <c r="C357" s="72" t="s">
        <v>2023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1703</v>
      </c>
      <c r="M357" s="8"/>
    </row>
    <row r="358" spans="1:13" x14ac:dyDescent="0.25">
      <c r="A358" s="15" t="s">
        <v>2024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2025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2026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1423</v>
      </c>
      <c r="H360" s="9"/>
      <c r="I360" s="8"/>
      <c r="J360" s="8"/>
      <c r="K360" s="8"/>
      <c r="L360" s="9" t="s">
        <v>1906</v>
      </c>
      <c r="M360" s="8"/>
    </row>
    <row r="361" spans="1:13" x14ac:dyDescent="0.25">
      <c r="A361" s="15" t="s">
        <v>2027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2028</v>
      </c>
      <c r="B362" s="67">
        <v>39263170860</v>
      </c>
      <c r="C362" s="72" t="s">
        <v>2029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2030</v>
      </c>
      <c r="B363" s="67">
        <v>17803665829</v>
      </c>
      <c r="C363" s="72" t="s">
        <v>2031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2032</v>
      </c>
      <c r="B364" s="67">
        <v>39996489884</v>
      </c>
      <c r="C364" s="72" t="s">
        <v>2033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2034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1423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2035</v>
      </c>
      <c r="B366" s="67">
        <v>36210371876</v>
      </c>
      <c r="C366" s="72" t="s">
        <v>2036</v>
      </c>
      <c r="D366" s="69">
        <v>32340716837</v>
      </c>
      <c r="E366" s="9">
        <v>229</v>
      </c>
      <c r="F366" s="25">
        <v>43151</v>
      </c>
      <c r="G366" s="70" t="s">
        <v>1423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2037</v>
      </c>
      <c r="B367" s="67">
        <v>42016007850</v>
      </c>
      <c r="C367" s="72" t="s">
        <v>2038</v>
      </c>
      <c r="D367" s="69">
        <v>35228090843</v>
      </c>
      <c r="E367" s="9">
        <v>810</v>
      </c>
      <c r="F367" s="25">
        <v>42915</v>
      </c>
      <c r="G367" s="70" t="s">
        <v>1423</v>
      </c>
      <c r="H367" s="9"/>
      <c r="I367" s="8"/>
      <c r="J367" s="8"/>
      <c r="K367" s="8"/>
      <c r="L367" s="9" t="s">
        <v>1542</v>
      </c>
      <c r="M367" s="8"/>
    </row>
    <row r="368" spans="1:13" x14ac:dyDescent="0.25">
      <c r="A368" s="14" t="s">
        <v>2039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1423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2040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1423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2041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1423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2042</v>
      </c>
      <c r="B371" s="67">
        <v>34350558802</v>
      </c>
      <c r="C371" s="18" t="s">
        <v>2043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2044</v>
      </c>
      <c r="B372" s="67">
        <v>41502336839</v>
      </c>
      <c r="C372" s="77" t="s">
        <v>2045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2046</v>
      </c>
      <c r="B373" s="67">
        <v>38156943880</v>
      </c>
      <c r="C373" s="72" t="s">
        <v>2047</v>
      </c>
      <c r="D373" s="69">
        <v>35830934884</v>
      </c>
      <c r="E373" s="9">
        <v>262</v>
      </c>
      <c r="F373" s="25">
        <v>43160</v>
      </c>
      <c r="G373" s="70" t="s">
        <v>1423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2048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1423</v>
      </c>
      <c r="H374" s="9"/>
      <c r="I374" s="8"/>
      <c r="J374" s="8"/>
      <c r="K374" s="8"/>
      <c r="L374" s="9" t="s">
        <v>1542</v>
      </c>
      <c r="M374" s="8"/>
    </row>
    <row r="375" spans="1:13" x14ac:dyDescent="0.25">
      <c r="A375" s="71" t="s">
        <v>2049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1423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2050</v>
      </c>
      <c r="B376" s="67" t="s">
        <v>2051</v>
      </c>
      <c r="C376" s="73" t="s">
        <v>2052</v>
      </c>
      <c r="D376" s="69" t="s">
        <v>2053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2054</v>
      </c>
      <c r="B377" s="67">
        <v>41104888858</v>
      </c>
      <c r="C377" s="72" t="s">
        <v>2055</v>
      </c>
      <c r="D377" s="69">
        <v>35714357884</v>
      </c>
      <c r="E377" s="9">
        <v>810</v>
      </c>
      <c r="F377" s="25">
        <v>42915</v>
      </c>
      <c r="G377" s="70" t="s">
        <v>1423</v>
      </c>
      <c r="H377" s="9"/>
      <c r="I377" s="8"/>
      <c r="J377" s="8"/>
      <c r="K377" s="8"/>
      <c r="L377" s="9" t="s">
        <v>1542</v>
      </c>
      <c r="M377" s="8"/>
    </row>
    <row r="378" spans="1:13" x14ac:dyDescent="0.25">
      <c r="A378" s="71" t="s">
        <v>2056</v>
      </c>
      <c r="B378" s="67">
        <v>34954516846</v>
      </c>
      <c r="C378" s="72" t="s">
        <v>2057</v>
      </c>
      <c r="D378" s="69">
        <v>18356312825</v>
      </c>
      <c r="E378" s="9">
        <v>1824</v>
      </c>
      <c r="F378" s="25">
        <v>43091</v>
      </c>
      <c r="G378" s="70" t="s">
        <v>1437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2058</v>
      </c>
      <c r="B379" s="67"/>
      <c r="C379" s="29" t="s">
        <v>2059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2060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1423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2061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1423</v>
      </c>
      <c r="H381" s="9"/>
      <c r="I381" s="8"/>
      <c r="J381" s="8"/>
      <c r="K381" s="8"/>
      <c r="L381" s="9" t="s">
        <v>1564</v>
      </c>
      <c r="M381" s="8"/>
    </row>
    <row r="382" spans="1:13" x14ac:dyDescent="0.25">
      <c r="A382" s="71" t="s">
        <v>2062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2063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1423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2064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1423</v>
      </c>
      <c r="H384" s="9"/>
      <c r="I384" s="8"/>
      <c r="J384" s="8"/>
      <c r="K384" s="8"/>
      <c r="L384" s="9" t="s">
        <v>1564</v>
      </c>
      <c r="M384" s="8"/>
    </row>
    <row r="385" spans="1:13" x14ac:dyDescent="0.25">
      <c r="A385" s="15" t="s">
        <v>2065</v>
      </c>
      <c r="B385" s="67">
        <v>33239238802</v>
      </c>
      <c r="C385" s="72" t="s">
        <v>2066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2067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2068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1423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2069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1429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2070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1423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2071</v>
      </c>
      <c r="B390" s="67">
        <v>13486189816</v>
      </c>
      <c r="C390" s="72" t="s">
        <v>2072</v>
      </c>
      <c r="D390" s="69">
        <v>15745057858</v>
      </c>
      <c r="E390" s="9">
        <v>262</v>
      </c>
      <c r="F390" s="25">
        <v>43160</v>
      </c>
      <c r="G390" s="70" t="s">
        <v>1423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2073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1423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2074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1423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2075</v>
      </c>
      <c r="B393" s="67">
        <v>29672702884</v>
      </c>
      <c r="C393" s="72" t="s">
        <v>2076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2077</v>
      </c>
      <c r="B394" s="67"/>
      <c r="C394" s="29" t="s">
        <v>1533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2078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1423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2079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1423</v>
      </c>
      <c r="H396" s="9"/>
      <c r="I396" s="8"/>
      <c r="J396" s="8"/>
      <c r="K396" s="8"/>
      <c r="L396" s="9" t="s">
        <v>1574</v>
      </c>
      <c r="M396" s="8"/>
    </row>
    <row r="397" spans="1:13" x14ac:dyDescent="0.25">
      <c r="A397" s="15" t="s">
        <v>2080</v>
      </c>
      <c r="B397" s="67">
        <v>7030224582</v>
      </c>
      <c r="C397" s="72" t="s">
        <v>2081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2082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1423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2083</v>
      </c>
      <c r="B399" s="67">
        <v>39783437895</v>
      </c>
      <c r="C399" s="72" t="s">
        <v>2084</v>
      </c>
      <c r="D399" s="69">
        <v>12062296754</v>
      </c>
      <c r="E399" s="9">
        <v>292</v>
      </c>
      <c r="F399" s="25">
        <v>43168</v>
      </c>
      <c r="G399" s="9" t="s">
        <v>1423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2085</v>
      </c>
      <c r="B400" s="67">
        <v>41759713864</v>
      </c>
      <c r="C400" s="72" t="s">
        <v>2086</v>
      </c>
      <c r="D400" s="69">
        <v>38653116877</v>
      </c>
      <c r="E400" s="9">
        <v>1824</v>
      </c>
      <c r="F400" s="25">
        <v>43091</v>
      </c>
      <c r="G400" s="70" t="s">
        <v>1423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2087</v>
      </c>
      <c r="B401" s="67">
        <v>37686754839</v>
      </c>
      <c r="C401" s="72" t="s">
        <v>2088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2089</v>
      </c>
      <c r="B402" s="67"/>
      <c r="C402" s="29" t="s">
        <v>2090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2091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1423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2092</v>
      </c>
      <c r="B404" s="67">
        <v>44864217874</v>
      </c>
      <c r="C404" s="72" t="s">
        <v>2093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2094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1423</v>
      </c>
      <c r="H405" s="9"/>
      <c r="I405" s="8"/>
      <c r="J405" s="8"/>
      <c r="K405" s="8"/>
      <c r="L405" s="9" t="s">
        <v>1657</v>
      </c>
      <c r="M405" s="8"/>
    </row>
    <row r="406" spans="1:13" x14ac:dyDescent="0.25">
      <c r="A406" s="15" t="s">
        <v>2095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1423</v>
      </c>
      <c r="H406" s="9"/>
      <c r="I406" s="8"/>
      <c r="J406" s="8"/>
      <c r="K406" s="8"/>
      <c r="L406" s="9" t="s">
        <v>1574</v>
      </c>
      <c r="M406" s="8"/>
    </row>
    <row r="407" spans="1:13" x14ac:dyDescent="0.25">
      <c r="A407" s="13" t="s">
        <v>2096</v>
      </c>
      <c r="B407" s="67">
        <v>1329442512</v>
      </c>
      <c r="C407" s="68" t="s">
        <v>2097</v>
      </c>
      <c r="D407" s="69">
        <v>1320825516</v>
      </c>
      <c r="E407" s="9">
        <v>1214</v>
      </c>
      <c r="F407" s="25">
        <v>42989</v>
      </c>
      <c r="G407" s="70" t="s">
        <v>1423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2098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2099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2100</v>
      </c>
      <c r="B410" s="67"/>
      <c r="C410" s="29" t="s">
        <v>1533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2101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1423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2102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1423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2103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2104</v>
      </c>
      <c r="B414" s="67">
        <v>93440340520</v>
      </c>
      <c r="C414" s="68" t="s">
        <v>2105</v>
      </c>
      <c r="D414" s="69">
        <v>8858333845</v>
      </c>
      <c r="E414" s="9">
        <v>1267</v>
      </c>
      <c r="F414" s="25">
        <v>42998</v>
      </c>
      <c r="G414" s="70" t="s">
        <v>1423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2106</v>
      </c>
      <c r="B415" s="67">
        <v>21947877801</v>
      </c>
      <c r="C415" s="29" t="s">
        <v>2107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2108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1423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2109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1423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2110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1423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2111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1423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2112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1423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2113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2114</v>
      </c>
      <c r="B422" s="67">
        <v>11163355810</v>
      </c>
      <c r="C422" s="72" t="s">
        <v>2115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2116</v>
      </c>
      <c r="B423" s="67">
        <v>12870537859</v>
      </c>
      <c r="C423" s="72" t="s">
        <v>2117</v>
      </c>
      <c r="D423" s="69">
        <v>59856912849</v>
      </c>
      <c r="E423" s="9">
        <v>1417</v>
      </c>
      <c r="F423" s="25">
        <v>43017</v>
      </c>
      <c r="G423" s="70" t="s">
        <v>1423</v>
      </c>
      <c r="H423" s="9"/>
      <c r="I423" s="8"/>
      <c r="J423" s="8"/>
      <c r="K423" s="8"/>
      <c r="L423" s="9" t="s">
        <v>1657</v>
      </c>
      <c r="M423" s="8"/>
    </row>
    <row r="424" spans="1:13" x14ac:dyDescent="0.25">
      <c r="A424" s="14" t="s">
        <v>2118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1423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2119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2120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1423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2121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1423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2122</v>
      </c>
      <c r="B428" s="67">
        <v>34133269888</v>
      </c>
      <c r="C428" s="72" t="s">
        <v>2123</v>
      </c>
      <c r="D428" s="69">
        <v>35360635860</v>
      </c>
      <c r="E428" s="9">
        <v>1824</v>
      </c>
      <c r="F428" s="25">
        <v>43091</v>
      </c>
      <c r="G428" s="70" t="s">
        <v>1423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2124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1423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2125</v>
      </c>
      <c r="B430" s="67">
        <v>26370314846</v>
      </c>
      <c r="C430" s="72" t="s">
        <v>2126</v>
      </c>
      <c r="D430" s="69">
        <v>26923862809</v>
      </c>
      <c r="E430" s="9">
        <v>117</v>
      </c>
      <c r="F430" s="25">
        <v>43117</v>
      </c>
      <c r="G430" s="70" t="s">
        <v>1423</v>
      </c>
      <c r="H430" s="9"/>
      <c r="I430" s="8"/>
      <c r="J430" s="8"/>
      <c r="K430" s="8"/>
      <c r="L430" s="9" t="s">
        <v>1574</v>
      </c>
      <c r="M430" s="8"/>
    </row>
    <row r="431" spans="1:13" x14ac:dyDescent="0.25">
      <c r="A431" s="71" t="s">
        <v>2127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2128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1423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2129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1423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2130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1423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2131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1423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2132</v>
      </c>
      <c r="B436" s="67"/>
      <c r="C436" s="29" t="s">
        <v>1533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2133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1437</v>
      </c>
      <c r="H437" s="9"/>
      <c r="I437" s="8"/>
      <c r="J437" s="8"/>
      <c r="K437" s="8"/>
      <c r="L437" s="9" t="s">
        <v>1574</v>
      </c>
      <c r="M437" s="8"/>
    </row>
    <row r="438" spans="1:13" x14ac:dyDescent="0.25">
      <c r="A438" s="71" t="s">
        <v>2134</v>
      </c>
      <c r="B438" s="67">
        <v>28413241847</v>
      </c>
      <c r="C438" s="72" t="s">
        <v>2135</v>
      </c>
      <c r="D438" s="69">
        <v>14661915895</v>
      </c>
      <c r="E438" s="9">
        <v>810</v>
      </c>
      <c r="F438" s="25">
        <v>42915</v>
      </c>
      <c r="G438" s="70" t="s">
        <v>1423</v>
      </c>
      <c r="H438" s="9"/>
      <c r="I438" s="8"/>
      <c r="J438" s="8"/>
      <c r="K438" s="8"/>
      <c r="L438" s="9" t="s">
        <v>1542</v>
      </c>
      <c r="M438" s="8"/>
    </row>
    <row r="439" spans="1:13" x14ac:dyDescent="0.25">
      <c r="A439" s="15" t="s">
        <v>2136</v>
      </c>
      <c r="B439" s="67">
        <v>12898733806</v>
      </c>
      <c r="C439" s="72" t="s">
        <v>2137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2138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1423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2139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2140</v>
      </c>
      <c r="B442" s="67">
        <v>667192328</v>
      </c>
      <c r="C442" s="29" t="s">
        <v>2141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2142</v>
      </c>
      <c r="B443" s="67">
        <v>3474339443</v>
      </c>
      <c r="C443" s="72" t="s">
        <v>2143</v>
      </c>
      <c r="D443" s="69">
        <v>58073604515</v>
      </c>
      <c r="E443" s="9">
        <v>810</v>
      </c>
      <c r="F443" s="25">
        <v>42915</v>
      </c>
      <c r="G443" s="70" t="s">
        <v>1423</v>
      </c>
      <c r="H443" s="9"/>
      <c r="I443" s="8"/>
      <c r="J443" s="8"/>
      <c r="K443" s="8"/>
      <c r="L443" s="9" t="s">
        <v>1542</v>
      </c>
      <c r="M443" s="8"/>
    </row>
    <row r="444" spans="1:13" x14ac:dyDescent="0.25">
      <c r="A444" s="71" t="s">
        <v>2144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1423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2145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2146</v>
      </c>
      <c r="B446" s="67">
        <v>70014140349</v>
      </c>
      <c r="C446" s="72" t="s">
        <v>2147</v>
      </c>
      <c r="D446" s="69">
        <v>16412436863</v>
      </c>
      <c r="E446" s="9">
        <v>1262</v>
      </c>
      <c r="F446" s="25">
        <v>42997</v>
      </c>
      <c r="G446" s="70" t="s">
        <v>1423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2148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2149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1423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2150</v>
      </c>
      <c r="B449" s="67">
        <v>42230945807</v>
      </c>
      <c r="C449" s="29" t="s">
        <v>2151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2152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1423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2153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1423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2154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1423</v>
      </c>
      <c r="H452" s="9"/>
      <c r="I452" s="8"/>
      <c r="J452" s="8"/>
      <c r="K452" s="8"/>
      <c r="L452" s="9" t="s">
        <v>1564</v>
      </c>
      <c r="M452" s="8"/>
    </row>
    <row r="453" spans="1:13" x14ac:dyDescent="0.25">
      <c r="A453" s="71" t="s">
        <v>2155</v>
      </c>
      <c r="B453" s="67">
        <v>7380335456</v>
      </c>
      <c r="C453" s="72" t="s">
        <v>2156</v>
      </c>
      <c r="D453" s="69">
        <v>7548744439</v>
      </c>
      <c r="E453" s="9">
        <v>810</v>
      </c>
      <c r="F453" s="25">
        <v>42915</v>
      </c>
      <c r="G453" s="70" t="s">
        <v>1423</v>
      </c>
      <c r="H453" s="9"/>
      <c r="I453" s="8"/>
      <c r="J453" s="8"/>
      <c r="K453" s="8"/>
      <c r="L453" s="9" t="s">
        <v>1542</v>
      </c>
      <c r="M453" s="8"/>
    </row>
    <row r="454" spans="1:13" x14ac:dyDescent="0.25">
      <c r="A454" s="18" t="s">
        <v>2157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2158</v>
      </c>
      <c r="B455" s="67">
        <v>38529900847</v>
      </c>
      <c r="C455" s="72" t="s">
        <v>2159</v>
      </c>
      <c r="D455" s="69">
        <v>36056823830</v>
      </c>
      <c r="E455" s="9">
        <v>262</v>
      </c>
      <c r="F455" s="25">
        <v>43160</v>
      </c>
      <c r="G455" s="70" t="s">
        <v>1423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2160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1423</v>
      </c>
      <c r="H456" s="9"/>
      <c r="I456" s="8"/>
      <c r="J456" s="8"/>
      <c r="K456" s="8"/>
      <c r="L456" s="9" t="s">
        <v>1657</v>
      </c>
      <c r="M456" s="8"/>
    </row>
    <row r="457" spans="1:13" x14ac:dyDescent="0.25">
      <c r="A457" s="13" t="s">
        <v>2161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1423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2162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1423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2163</v>
      </c>
      <c r="B459" s="67">
        <v>11806390817</v>
      </c>
      <c r="C459" s="72" t="s">
        <v>2164</v>
      </c>
      <c r="D459" s="69">
        <v>6924399860</v>
      </c>
      <c r="E459" s="9">
        <v>85</v>
      </c>
      <c r="F459" s="25">
        <v>43109</v>
      </c>
      <c r="G459" s="70" t="s">
        <v>1423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2165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2166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1423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2167</v>
      </c>
      <c r="B462" s="67">
        <v>32734621835</v>
      </c>
      <c r="C462" s="77" t="s">
        <v>2168</v>
      </c>
      <c r="D462" s="69" t="s">
        <v>2169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2170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1423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2171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2172</v>
      </c>
      <c r="B465" s="67">
        <v>31367730805</v>
      </c>
      <c r="C465" s="68" t="s">
        <v>2173</v>
      </c>
      <c r="D465" s="69">
        <v>39532354867</v>
      </c>
      <c r="E465" s="9">
        <v>1350</v>
      </c>
      <c r="F465" s="25">
        <v>43006</v>
      </c>
      <c r="G465" s="70" t="s">
        <v>1423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2174</v>
      </c>
      <c r="B466" s="67">
        <v>5579867611</v>
      </c>
      <c r="C466" s="72" t="s">
        <v>2175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2176</v>
      </c>
      <c r="B467" s="67">
        <v>17118545813</v>
      </c>
      <c r="C467" s="72" t="s">
        <v>2177</v>
      </c>
      <c r="D467" s="69">
        <v>29932279803</v>
      </c>
      <c r="E467" s="9">
        <v>262</v>
      </c>
      <c r="F467" s="25">
        <v>43160</v>
      </c>
      <c r="G467" s="70" t="s">
        <v>1423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2178</v>
      </c>
      <c r="B468" s="67">
        <v>35031003855</v>
      </c>
      <c r="C468" s="72" t="s">
        <v>2179</v>
      </c>
      <c r="D468" s="69">
        <v>41246529840</v>
      </c>
      <c r="E468" s="9">
        <v>1422</v>
      </c>
      <c r="F468" s="25">
        <v>43018</v>
      </c>
      <c r="G468" s="70" t="s">
        <v>1423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2180</v>
      </c>
      <c r="B469" s="67">
        <v>17803718884</v>
      </c>
      <c r="C469" s="32" t="s">
        <v>2181</v>
      </c>
      <c r="D469" s="69">
        <v>364628880</v>
      </c>
      <c r="E469" s="9">
        <v>1570</v>
      </c>
      <c r="F469" s="25">
        <v>43077</v>
      </c>
      <c r="G469" s="70" t="s">
        <v>1423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2182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1423</v>
      </c>
      <c r="H470" s="9"/>
      <c r="I470" s="8"/>
      <c r="J470" s="8"/>
      <c r="K470" s="8"/>
      <c r="L470" s="9" t="s">
        <v>1574</v>
      </c>
      <c r="M470" s="8"/>
    </row>
    <row r="471" spans="1:13" x14ac:dyDescent="0.25">
      <c r="A471" s="13" t="s">
        <v>2183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1423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2184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1423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2185</v>
      </c>
      <c r="B473" s="67">
        <v>22740303831</v>
      </c>
      <c r="C473" s="18" t="s">
        <v>1533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2186</v>
      </c>
      <c r="B474" s="67">
        <v>35482535800</v>
      </c>
      <c r="C474" s="72" t="s">
        <v>2187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2188</v>
      </c>
      <c r="B475" s="67">
        <v>22213116806</v>
      </c>
      <c r="C475" s="72" t="s">
        <v>2189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2190</v>
      </c>
      <c r="B476" s="67">
        <v>22168840814</v>
      </c>
      <c r="C476" s="29" t="s">
        <v>2191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2192</v>
      </c>
      <c r="B477" s="67">
        <v>30609785818</v>
      </c>
      <c r="C477" s="18" t="s">
        <v>2193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2194</v>
      </c>
      <c r="B478" s="67">
        <v>18515704897</v>
      </c>
      <c r="C478" s="18" t="s">
        <v>1533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2195</v>
      </c>
      <c r="B479" s="67">
        <v>14683022800</v>
      </c>
      <c r="C479" s="72" t="s">
        <v>2196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2197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2198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1423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2199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2200</v>
      </c>
      <c r="B483" s="67"/>
      <c r="C483" s="29" t="s">
        <v>1533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2201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1423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2202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1423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2203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1423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2204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1423</v>
      </c>
      <c r="H487" s="9"/>
      <c r="I487" s="8"/>
      <c r="J487" s="8"/>
      <c r="K487" s="8"/>
      <c r="L487" s="9" t="s">
        <v>1564</v>
      </c>
      <c r="M487" s="8"/>
    </row>
    <row r="488" spans="1:13" x14ac:dyDescent="0.25">
      <c r="A488" s="13" t="s">
        <v>2205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1423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2206</v>
      </c>
      <c r="B489" s="67">
        <v>36664921855</v>
      </c>
      <c r="C489" s="72" t="s">
        <v>2207</v>
      </c>
      <c r="D489" s="69">
        <v>28495923823</v>
      </c>
      <c r="E489" s="9">
        <v>117</v>
      </c>
      <c r="F489" s="25">
        <v>43117</v>
      </c>
      <c r="G489" s="70" t="s">
        <v>1429</v>
      </c>
      <c r="H489" s="9"/>
      <c r="I489" s="8"/>
      <c r="J489" s="8"/>
      <c r="K489" s="8"/>
      <c r="L489" s="9" t="s">
        <v>1574</v>
      </c>
      <c r="M489" s="8"/>
    </row>
    <row r="490" spans="1:13" x14ac:dyDescent="0.25">
      <c r="A490" s="79" t="s">
        <v>2208</v>
      </c>
      <c r="B490" s="80">
        <v>22561317854</v>
      </c>
      <c r="C490" s="81" t="s">
        <v>2209</v>
      </c>
      <c r="D490" s="82">
        <v>26718748803</v>
      </c>
      <c r="E490" s="47">
        <v>1106</v>
      </c>
      <c r="F490" s="48">
        <v>42965</v>
      </c>
      <c r="G490" s="83" t="s">
        <v>1429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2210</v>
      </c>
      <c r="B491" s="67">
        <v>34870463857</v>
      </c>
      <c r="C491" s="72" t="s">
        <v>2211</v>
      </c>
      <c r="D491" s="69">
        <v>7049816531</v>
      </c>
      <c r="E491" s="9">
        <v>292</v>
      </c>
      <c r="F491" s="25">
        <v>43168</v>
      </c>
      <c r="G491" s="70" t="s">
        <v>1423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2212</v>
      </c>
      <c r="B492" s="67">
        <v>35225854885</v>
      </c>
      <c r="C492" s="72" t="s">
        <v>2213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2214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1423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2215</v>
      </c>
      <c r="B494" s="67">
        <v>35929092826</v>
      </c>
      <c r="C494" s="72" t="s">
        <v>2216</v>
      </c>
      <c r="D494" s="69">
        <v>29462804893</v>
      </c>
      <c r="E494" s="9">
        <v>1267</v>
      </c>
      <c r="F494" s="25">
        <v>42998</v>
      </c>
      <c r="G494" s="70" t="s">
        <v>1423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2217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2218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2219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2220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1423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2221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1437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2222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2223</v>
      </c>
      <c r="B501" s="67">
        <v>24660726886</v>
      </c>
      <c r="C501" s="72" t="s">
        <v>2224</v>
      </c>
      <c r="D501" s="69">
        <v>96400951504</v>
      </c>
      <c r="E501" s="9">
        <v>292</v>
      </c>
      <c r="F501" s="25">
        <v>43168</v>
      </c>
      <c r="G501" s="70" t="s">
        <v>1429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2225</v>
      </c>
      <c r="B502" s="69">
        <v>27863381827</v>
      </c>
      <c r="C502" s="71" t="s">
        <v>2226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2227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1423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2228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2229</v>
      </c>
      <c r="B505" s="67">
        <v>25856034821</v>
      </c>
      <c r="C505" s="72" t="s">
        <v>2230</v>
      </c>
      <c r="D505" s="69">
        <v>74821083353</v>
      </c>
      <c r="E505" s="9">
        <v>810</v>
      </c>
      <c r="F505" s="25">
        <v>42915</v>
      </c>
      <c r="G505" s="70" t="s">
        <v>1423</v>
      </c>
      <c r="H505" s="9"/>
      <c r="I505" s="8"/>
      <c r="J505" s="8"/>
      <c r="K505" s="8"/>
      <c r="L505" s="9" t="s">
        <v>1542</v>
      </c>
      <c r="M505" s="8"/>
    </row>
    <row r="506" spans="1:13" x14ac:dyDescent="0.25">
      <c r="A506" s="71" t="s">
        <v>2231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1703</v>
      </c>
      <c r="M506" s="8"/>
    </row>
    <row r="507" spans="1:13" x14ac:dyDescent="0.25">
      <c r="A507" s="71" t="s">
        <v>2232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2233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1703</v>
      </c>
      <c r="M508" s="8"/>
    </row>
    <row r="509" spans="1:13" x14ac:dyDescent="0.25">
      <c r="A509" s="29" t="s">
        <v>2234</v>
      </c>
      <c r="B509" s="67">
        <v>4802267843</v>
      </c>
      <c r="C509" s="29" t="s">
        <v>2235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2236</v>
      </c>
      <c r="B510" s="67">
        <v>6672502807</v>
      </c>
      <c r="C510" s="72" t="s">
        <v>2237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1703</v>
      </c>
      <c r="M510" s="8"/>
    </row>
    <row r="511" spans="1:13" x14ac:dyDescent="0.25">
      <c r="A511" s="18" t="s">
        <v>2238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2239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2240</v>
      </c>
      <c r="B513" s="67">
        <v>37233245843</v>
      </c>
      <c r="C513" s="29" t="s">
        <v>2241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2242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2243</v>
      </c>
      <c r="B515" s="67">
        <v>33456412835</v>
      </c>
      <c r="C515" s="72" t="s">
        <v>2244</v>
      </c>
      <c r="D515" s="69">
        <v>9387669882</v>
      </c>
      <c r="E515" s="9">
        <v>229</v>
      </c>
      <c r="F515" s="25">
        <v>43151</v>
      </c>
      <c r="G515" s="70" t="s">
        <v>1437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2245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1423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2246</v>
      </c>
      <c r="B517" s="67">
        <v>10317452894</v>
      </c>
      <c r="C517" s="72" t="s">
        <v>2247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2248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1423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2249</v>
      </c>
      <c r="B519" s="67"/>
      <c r="C519" s="29" t="s">
        <v>2250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2251</v>
      </c>
      <c r="B520" s="67">
        <v>42782953591</v>
      </c>
      <c r="C520" s="72" t="s">
        <v>2252</v>
      </c>
      <c r="D520" s="69">
        <v>53921186587</v>
      </c>
      <c r="E520" s="9">
        <v>85</v>
      </c>
      <c r="F520" s="25">
        <v>43109</v>
      </c>
      <c r="G520" s="70" t="s">
        <v>1423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2253</v>
      </c>
      <c r="B521" s="67">
        <v>3086762896</v>
      </c>
      <c r="C521" s="72" t="s">
        <v>2254</v>
      </c>
      <c r="D521" s="69">
        <v>89632877853</v>
      </c>
      <c r="E521" s="9">
        <v>810</v>
      </c>
      <c r="F521" s="25">
        <v>42915</v>
      </c>
      <c r="G521" s="70" t="s">
        <v>1423</v>
      </c>
      <c r="H521" s="9"/>
      <c r="I521" s="8"/>
      <c r="J521" s="8"/>
      <c r="K521" s="8"/>
      <c r="L521" s="9" t="s">
        <v>1542</v>
      </c>
      <c r="M521" s="8"/>
    </row>
    <row r="522" spans="1:13" x14ac:dyDescent="0.25">
      <c r="A522" s="71" t="s">
        <v>2255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1423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2256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1423</v>
      </c>
      <c r="H523" s="9"/>
      <c r="I523" s="8"/>
      <c r="J523" s="8"/>
      <c r="K523" s="8"/>
      <c r="L523" s="9" t="s">
        <v>1657</v>
      </c>
      <c r="M523" s="8"/>
    </row>
    <row r="524" spans="1:13" x14ac:dyDescent="0.25">
      <c r="A524" s="33" t="s">
        <v>2257</v>
      </c>
      <c r="B524" s="67">
        <v>22624049843</v>
      </c>
      <c r="C524" s="32" t="s">
        <v>2258</v>
      </c>
      <c r="D524" s="69">
        <v>32978302801</v>
      </c>
      <c r="E524" s="9">
        <v>1570</v>
      </c>
      <c r="F524" s="25">
        <v>43077</v>
      </c>
      <c r="G524" s="70" t="s">
        <v>1423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2259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2260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1423</v>
      </c>
      <c r="H526" s="9"/>
      <c r="I526" s="8"/>
      <c r="J526" s="8"/>
      <c r="K526" s="8"/>
      <c r="L526" s="9" t="s">
        <v>1564</v>
      </c>
      <c r="M526" s="8"/>
    </row>
    <row r="527" spans="1:13" x14ac:dyDescent="0.25">
      <c r="A527" s="71" t="s">
        <v>2261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1423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2262</v>
      </c>
      <c r="B528" s="67">
        <v>27112847869</v>
      </c>
      <c r="C528" s="72" t="s">
        <v>2263</v>
      </c>
      <c r="D528" s="69">
        <v>37782363420</v>
      </c>
      <c r="E528" s="9">
        <v>1106</v>
      </c>
      <c r="F528" s="25">
        <v>42965</v>
      </c>
      <c r="G528" s="70" t="s">
        <v>1423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2264</v>
      </c>
      <c r="B529" s="67">
        <v>32811648895</v>
      </c>
      <c r="C529" s="72" t="s">
        <v>2265</v>
      </c>
      <c r="D529" s="69">
        <v>25428395818</v>
      </c>
      <c r="E529" s="9">
        <v>85</v>
      </c>
      <c r="F529" s="25">
        <v>43109</v>
      </c>
      <c r="G529" s="70" t="s">
        <v>1423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2266</v>
      </c>
      <c r="B530" s="67">
        <v>12811159835</v>
      </c>
      <c r="C530" s="72" t="s">
        <v>2267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2268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2269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2270</v>
      </c>
      <c r="B533" s="67">
        <v>83941010468</v>
      </c>
      <c r="C533" s="18" t="s">
        <v>2271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2272</v>
      </c>
      <c r="B534" s="67">
        <v>43152462808</v>
      </c>
      <c r="C534" s="29" t="s">
        <v>2273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2274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2275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1423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2276</v>
      </c>
      <c r="B537" s="67"/>
      <c r="C537" s="18" t="s">
        <v>1533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2277</v>
      </c>
      <c r="B538" s="67">
        <v>41249931886</v>
      </c>
      <c r="C538" s="72" t="s">
        <v>2278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2279</v>
      </c>
      <c r="B539" s="67">
        <v>34361118809</v>
      </c>
      <c r="C539" s="72" t="s">
        <v>2280</v>
      </c>
      <c r="D539" s="69">
        <v>14784595813</v>
      </c>
      <c r="E539" s="9">
        <v>85</v>
      </c>
      <c r="F539" s="25">
        <v>43109</v>
      </c>
      <c r="G539" s="70" t="s">
        <v>1423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2281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1423</v>
      </c>
      <c r="H540" s="9"/>
      <c r="I540" s="8"/>
      <c r="J540" s="8"/>
      <c r="K540" s="8"/>
      <c r="L540" s="9" t="s">
        <v>1906</v>
      </c>
      <c r="M540" s="8"/>
    </row>
    <row r="541" spans="1:13" x14ac:dyDescent="0.25">
      <c r="A541" s="71" t="s">
        <v>2282</v>
      </c>
      <c r="B541" s="67">
        <v>45469747875</v>
      </c>
      <c r="C541" s="72" t="s">
        <v>2283</v>
      </c>
      <c r="D541" s="69">
        <v>39042679816</v>
      </c>
      <c r="E541" s="9">
        <v>117</v>
      </c>
      <c r="F541" s="25">
        <v>43117</v>
      </c>
      <c r="G541" s="70" t="s">
        <v>1423</v>
      </c>
      <c r="H541" s="9"/>
      <c r="I541" s="8"/>
      <c r="J541" s="8"/>
      <c r="K541" s="8"/>
      <c r="L541" s="9" t="s">
        <v>1574</v>
      </c>
      <c r="M541" s="8"/>
    </row>
    <row r="542" spans="1:13" x14ac:dyDescent="0.25">
      <c r="A542" s="71" t="s">
        <v>2284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2285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1423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2286</v>
      </c>
      <c r="B544" s="67">
        <v>33199855822</v>
      </c>
      <c r="C544" s="18" t="s">
        <v>2287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2288</v>
      </c>
      <c r="B545" s="67">
        <v>32878318870</v>
      </c>
      <c r="C545" s="18" t="s">
        <v>2289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2290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1423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2291</v>
      </c>
      <c r="B547" s="67">
        <v>31328839800</v>
      </c>
      <c r="C547" s="72" t="s">
        <v>2292</v>
      </c>
      <c r="D547" s="69">
        <v>13482435898</v>
      </c>
      <c r="E547" s="9">
        <v>262</v>
      </c>
      <c r="F547" s="25">
        <v>43160</v>
      </c>
      <c r="G547" s="70" t="s">
        <v>1423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2293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1423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2294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1423</v>
      </c>
      <c r="H549" s="9"/>
      <c r="I549" s="8"/>
      <c r="J549" s="8"/>
      <c r="K549" s="8"/>
      <c r="L549" s="9" t="s">
        <v>1574</v>
      </c>
      <c r="M549" s="8"/>
    </row>
    <row r="550" spans="1:13" x14ac:dyDescent="0.25">
      <c r="A550" s="73" t="s">
        <v>2295</v>
      </c>
      <c r="B550" s="67">
        <v>33311756843</v>
      </c>
      <c r="C550" s="72" t="s">
        <v>2296</v>
      </c>
      <c r="D550" s="69">
        <v>31561945811</v>
      </c>
      <c r="E550" s="9">
        <v>1106</v>
      </c>
      <c r="F550" s="25">
        <v>42965</v>
      </c>
      <c r="G550" s="70" t="s">
        <v>1423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2297</v>
      </c>
      <c r="B551" s="67" t="s">
        <v>2298</v>
      </c>
      <c r="C551" s="77" t="s">
        <v>2299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2300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1423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2301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1423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2302</v>
      </c>
      <c r="B554" s="67"/>
      <c r="C554" s="18" t="s">
        <v>1533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2303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1423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2304</v>
      </c>
      <c r="B556" s="67">
        <v>37608246847</v>
      </c>
      <c r="C556" s="68" t="s">
        <v>2305</v>
      </c>
      <c r="D556" s="69">
        <v>27976942875</v>
      </c>
      <c r="E556" s="9">
        <v>608</v>
      </c>
      <c r="F556" s="25">
        <v>43012</v>
      </c>
      <c r="G556" s="70" t="s">
        <v>1423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2306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2307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2308</v>
      </c>
      <c r="B559" s="67">
        <v>39990709866</v>
      </c>
      <c r="C559" s="72" t="s">
        <v>2309</v>
      </c>
      <c r="D559" s="69">
        <v>46936249850</v>
      </c>
      <c r="E559" s="9">
        <v>229</v>
      </c>
      <c r="F559" s="25">
        <v>43151</v>
      </c>
      <c r="G559" s="70" t="s">
        <v>1423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2310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2311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1423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2312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1423</v>
      </c>
      <c r="H562" s="9"/>
      <c r="I562" s="8"/>
      <c r="J562" s="8"/>
      <c r="K562" s="8"/>
      <c r="L562" s="9" t="s">
        <v>1542</v>
      </c>
      <c r="M562" s="8"/>
    </row>
    <row r="563" spans="1:13" x14ac:dyDescent="0.25">
      <c r="A563" s="71" t="s">
        <v>2313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2314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2315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1423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2316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2317</v>
      </c>
      <c r="B567" s="67">
        <v>9056201867</v>
      </c>
      <c r="C567" s="72" t="s">
        <v>2318</v>
      </c>
      <c r="D567" s="69">
        <v>59754605815</v>
      </c>
      <c r="E567" s="9">
        <v>810</v>
      </c>
      <c r="F567" s="25">
        <v>42915</v>
      </c>
      <c r="G567" s="70" t="s">
        <v>1423</v>
      </c>
      <c r="H567" s="9"/>
      <c r="I567" s="8"/>
      <c r="J567" s="8"/>
      <c r="K567" s="8"/>
      <c r="L567" s="9" t="s">
        <v>1542</v>
      </c>
      <c r="M567" s="8"/>
    </row>
    <row r="568" spans="1:13" x14ac:dyDescent="0.25">
      <c r="A568" s="71" t="s">
        <v>2319</v>
      </c>
      <c r="B568" s="67">
        <v>4434698656</v>
      </c>
      <c r="C568" s="72" t="s">
        <v>2320</v>
      </c>
      <c r="D568" s="69">
        <v>75851300400</v>
      </c>
      <c r="E568" s="9">
        <v>810</v>
      </c>
      <c r="F568" s="25">
        <v>42915</v>
      </c>
      <c r="G568" s="70" t="s">
        <v>1423</v>
      </c>
      <c r="H568" s="9"/>
      <c r="I568" s="8"/>
      <c r="J568" s="8"/>
      <c r="K568" s="8"/>
      <c r="L568" s="9" t="s">
        <v>1542</v>
      </c>
      <c r="M568" s="8"/>
    </row>
    <row r="569" spans="1:13" x14ac:dyDescent="0.25">
      <c r="A569" s="71" t="s">
        <v>2321</v>
      </c>
      <c r="B569" s="67">
        <v>27030279824</v>
      </c>
      <c r="C569" s="72" t="s">
        <v>2322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2323</v>
      </c>
      <c r="B570" s="67">
        <v>30478760884</v>
      </c>
      <c r="C570" s="77" t="s">
        <v>2324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2325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1423</v>
      </c>
      <c r="H571" s="76">
        <v>43213</v>
      </c>
      <c r="I571" s="8"/>
      <c r="J571" s="8"/>
      <c r="K571" s="8"/>
      <c r="L571" s="9" t="s">
        <v>1542</v>
      </c>
      <c r="M571" s="8"/>
    </row>
    <row r="572" spans="1:13" x14ac:dyDescent="0.25">
      <c r="A572" s="71" t="s">
        <v>2326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1423</v>
      </c>
      <c r="H572" s="76">
        <v>43213</v>
      </c>
      <c r="I572" s="8"/>
      <c r="J572" s="8"/>
      <c r="K572" s="8"/>
      <c r="L572" s="9" t="s">
        <v>1657</v>
      </c>
      <c r="M572" s="8"/>
    </row>
    <row r="573" spans="1:13" x14ac:dyDescent="0.25">
      <c r="A573" s="72" t="s">
        <v>2327</v>
      </c>
      <c r="B573" s="67">
        <v>16583214806</v>
      </c>
      <c r="C573" s="72" t="s">
        <v>2328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2329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2330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1423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2331</v>
      </c>
      <c r="B576" s="67">
        <v>6882969639</v>
      </c>
      <c r="C576" s="29" t="s">
        <v>2332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2333</v>
      </c>
      <c r="B577" s="67">
        <v>22449339892</v>
      </c>
      <c r="C577" s="29" t="s">
        <v>2334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2335</v>
      </c>
      <c r="B578" s="67"/>
      <c r="C578" s="18" t="s">
        <v>1533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2336</v>
      </c>
      <c r="B579" s="67">
        <v>22854740831</v>
      </c>
      <c r="C579" s="72" t="s">
        <v>2337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2338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2339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1423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2340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1423</v>
      </c>
      <c r="H582" s="9"/>
      <c r="I582" s="8"/>
      <c r="J582" s="8"/>
      <c r="K582" s="8"/>
      <c r="L582" s="9" t="s">
        <v>1542</v>
      </c>
      <c r="M582" s="8"/>
    </row>
    <row r="583" spans="1:13" x14ac:dyDescent="0.25">
      <c r="A583" s="71" t="s">
        <v>2341</v>
      </c>
      <c r="B583" s="67">
        <v>47110994848</v>
      </c>
      <c r="C583" s="71" t="s">
        <v>2342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2343</v>
      </c>
      <c r="B584" s="67">
        <v>39353276845</v>
      </c>
      <c r="C584" s="72" t="s">
        <v>2344</v>
      </c>
      <c r="D584" s="69">
        <v>33343612847</v>
      </c>
      <c r="E584" s="9">
        <v>1417</v>
      </c>
      <c r="F584" s="25">
        <v>43017</v>
      </c>
      <c r="G584" s="70" t="s">
        <v>1429</v>
      </c>
      <c r="H584" s="9"/>
      <c r="I584" s="8"/>
      <c r="J584" s="8"/>
      <c r="K584" s="8"/>
      <c r="L584" s="9" t="s">
        <v>1657</v>
      </c>
      <c r="M584" s="8"/>
    </row>
    <row r="585" spans="1:13" x14ac:dyDescent="0.25">
      <c r="A585" s="13" t="s">
        <v>2345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1423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2346</v>
      </c>
      <c r="B586" s="67">
        <v>39937482801</v>
      </c>
      <c r="C586" s="68" t="s">
        <v>2347</v>
      </c>
      <c r="D586" s="69">
        <v>36243454860</v>
      </c>
      <c r="E586" s="9">
        <v>1128</v>
      </c>
      <c r="F586" s="25">
        <v>42972</v>
      </c>
      <c r="G586" s="70" t="s">
        <v>1423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2348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1423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2349</v>
      </c>
      <c r="B588" s="67">
        <v>4090078466</v>
      </c>
      <c r="C588" s="72" t="s">
        <v>2350</v>
      </c>
      <c r="D588" s="69">
        <v>31135278806</v>
      </c>
      <c r="E588" s="9">
        <v>1555</v>
      </c>
      <c r="F588" s="25">
        <v>43049</v>
      </c>
      <c r="G588" s="70" t="s">
        <v>1429</v>
      </c>
      <c r="H588" s="9"/>
      <c r="I588" s="8"/>
      <c r="J588" s="8"/>
      <c r="K588" s="8"/>
      <c r="L588" s="9" t="s">
        <v>1802</v>
      </c>
      <c r="M588" s="8"/>
    </row>
    <row r="589" spans="1:13" x14ac:dyDescent="0.25">
      <c r="A589" s="72" t="s">
        <v>2351</v>
      </c>
      <c r="B589" s="67">
        <v>22857706855</v>
      </c>
      <c r="C589" s="72" t="s">
        <v>2352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2353</v>
      </c>
      <c r="B590" s="67">
        <v>30278629873</v>
      </c>
      <c r="C590" s="72" t="s">
        <v>2354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2355</v>
      </c>
      <c r="B591" s="67"/>
      <c r="C591" s="29" t="s">
        <v>2356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2357</v>
      </c>
      <c r="B592" s="67">
        <v>35569130896</v>
      </c>
      <c r="C592" s="72" t="s">
        <v>2358</v>
      </c>
      <c r="D592" s="69">
        <v>34252178878</v>
      </c>
      <c r="E592" s="9">
        <v>262</v>
      </c>
      <c r="F592" s="25">
        <v>43160</v>
      </c>
      <c r="G592" s="9" t="s">
        <v>1423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2359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1423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2360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1423</v>
      </c>
      <c r="H594" s="9"/>
      <c r="I594" s="8"/>
      <c r="J594" s="8"/>
      <c r="K594" s="8"/>
      <c r="L594" s="9" t="s">
        <v>1802</v>
      </c>
      <c r="M594" s="8"/>
    </row>
    <row r="595" spans="1:13" x14ac:dyDescent="0.25">
      <c r="A595" s="72" t="s">
        <v>2361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2362</v>
      </c>
      <c r="B596" s="67">
        <v>5704186580</v>
      </c>
      <c r="C596" s="72" t="s">
        <v>2363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2364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1423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2365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1423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2366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2367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1423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2368</v>
      </c>
      <c r="B601" s="67">
        <v>38453816808</v>
      </c>
      <c r="C601" s="72" t="s">
        <v>2369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2370</v>
      </c>
      <c r="B602" s="67">
        <v>46366084882</v>
      </c>
      <c r="C602" s="18" t="s">
        <v>1533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2371</v>
      </c>
      <c r="B603" s="67"/>
      <c r="C603" s="18" t="s">
        <v>1533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2372</v>
      </c>
      <c r="B604" s="67">
        <v>40415212898</v>
      </c>
      <c r="C604" s="72" t="s">
        <v>2373</v>
      </c>
      <c r="D604" s="69">
        <v>35522659882</v>
      </c>
      <c r="E604" s="9">
        <v>262</v>
      </c>
      <c r="F604" s="25">
        <v>43160</v>
      </c>
      <c r="G604" s="70" t="s">
        <v>1423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2374</v>
      </c>
      <c r="B605" s="67">
        <v>41957432810</v>
      </c>
      <c r="C605" s="72" t="s">
        <v>2375</v>
      </c>
      <c r="D605" s="69">
        <v>22992085855</v>
      </c>
      <c r="E605" s="9">
        <v>1824</v>
      </c>
      <c r="F605" s="25">
        <v>43091</v>
      </c>
      <c r="G605" s="70" t="s">
        <v>1423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2376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1423</v>
      </c>
      <c r="H606" s="9"/>
      <c r="I606" s="8"/>
      <c r="J606" s="8"/>
      <c r="K606" s="8"/>
      <c r="L606" s="9" t="s">
        <v>1574</v>
      </c>
      <c r="M606" s="8"/>
    </row>
    <row r="607" spans="1:13" x14ac:dyDescent="0.25">
      <c r="A607" s="15" t="s">
        <v>2377</v>
      </c>
      <c r="B607" s="67">
        <v>36252717886</v>
      </c>
      <c r="C607" s="72" t="s">
        <v>2378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2379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1423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2380</v>
      </c>
      <c r="B609" s="67">
        <v>23436019844</v>
      </c>
      <c r="C609" s="72" t="s">
        <v>2381</v>
      </c>
      <c r="D609" s="69">
        <v>35927095852</v>
      </c>
      <c r="E609" s="9">
        <v>810</v>
      </c>
      <c r="F609" s="25">
        <v>42915</v>
      </c>
      <c r="G609" s="70" t="s">
        <v>1423</v>
      </c>
      <c r="H609" s="9"/>
      <c r="I609" s="8"/>
      <c r="J609" s="8"/>
      <c r="K609" s="8"/>
      <c r="L609" s="9" t="s">
        <v>1542</v>
      </c>
      <c r="M609" s="8"/>
    </row>
    <row r="610" spans="1:13" x14ac:dyDescent="0.25">
      <c r="A610" s="71" t="s">
        <v>2382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1423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2383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1423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2384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1423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2385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2386</v>
      </c>
      <c r="B614" s="67">
        <v>32114645819</v>
      </c>
      <c r="C614" s="72" t="s">
        <v>2387</v>
      </c>
      <c r="D614" s="69">
        <v>33183764857</v>
      </c>
      <c r="E614" s="9">
        <v>810</v>
      </c>
      <c r="F614" s="25">
        <v>42915</v>
      </c>
      <c r="G614" s="70" t="s">
        <v>1423</v>
      </c>
      <c r="H614" s="9"/>
      <c r="I614" s="8"/>
      <c r="J614" s="8"/>
      <c r="K614" s="8"/>
      <c r="L614" s="9" t="s">
        <v>1542</v>
      </c>
      <c r="M614" s="8"/>
    </row>
    <row r="615" spans="1:13" x14ac:dyDescent="0.25">
      <c r="A615" s="29" t="s">
        <v>2388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2389</v>
      </c>
      <c r="B616" s="67">
        <v>4836720508</v>
      </c>
      <c r="C616" s="18" t="s">
        <v>2390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2391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1423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2392</v>
      </c>
      <c r="B618" s="67">
        <v>42187654800</v>
      </c>
      <c r="C618" s="29" t="s">
        <v>2393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2394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1423</v>
      </c>
      <c r="H619" s="9"/>
      <c r="I619" s="8"/>
      <c r="J619" s="8"/>
      <c r="K619" s="8"/>
      <c r="L619" s="9" t="s">
        <v>1906</v>
      </c>
      <c r="M619" s="8"/>
    </row>
    <row r="620" spans="1:13" x14ac:dyDescent="0.25">
      <c r="A620" s="71" t="s">
        <v>2395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2396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2397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2398</v>
      </c>
      <c r="B623" s="67">
        <v>1283631504</v>
      </c>
      <c r="C623" s="72" t="s">
        <v>2399</v>
      </c>
      <c r="D623" s="69">
        <v>62180886349</v>
      </c>
      <c r="E623" s="9">
        <v>1824</v>
      </c>
      <c r="F623" s="25">
        <v>43091</v>
      </c>
      <c r="G623" s="70" t="s">
        <v>1423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2400</v>
      </c>
      <c r="B624" s="67">
        <v>5389709527</v>
      </c>
      <c r="C624" s="86" t="s">
        <v>2401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2402</v>
      </c>
      <c r="B625" s="67">
        <v>1262412528</v>
      </c>
      <c r="C625" s="68" t="s">
        <v>2403</v>
      </c>
      <c r="D625" s="69">
        <v>3045815502</v>
      </c>
      <c r="E625" s="9">
        <v>1241</v>
      </c>
      <c r="F625" s="25">
        <v>42992</v>
      </c>
      <c r="G625" s="70" t="s">
        <v>1423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2404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1703</v>
      </c>
      <c r="M626" s="8"/>
    </row>
    <row r="627" spans="1:13" x14ac:dyDescent="0.25">
      <c r="A627" s="71" t="s">
        <v>2405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1628</v>
      </c>
      <c r="B628" s="67">
        <v>9704111460</v>
      </c>
      <c r="C628" s="72" t="s">
        <v>2406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2407</v>
      </c>
      <c r="B629" s="67">
        <v>41653576855</v>
      </c>
      <c r="C629" s="72" t="s">
        <v>2408</v>
      </c>
      <c r="D629" s="69">
        <v>33219880894</v>
      </c>
      <c r="E629" s="9">
        <v>1439</v>
      </c>
      <c r="F629" s="25">
        <v>43025</v>
      </c>
      <c r="G629" s="70" t="s">
        <v>1423</v>
      </c>
      <c r="H629" s="9"/>
      <c r="I629" s="8"/>
      <c r="J629" s="8"/>
      <c r="K629" s="8"/>
      <c r="L629" s="9" t="s">
        <v>1906</v>
      </c>
      <c r="M629" s="8"/>
    </row>
    <row r="630" spans="1:13" x14ac:dyDescent="0.25">
      <c r="A630" s="71" t="s">
        <v>2409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1423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2410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1423</v>
      </c>
      <c r="H631" s="9"/>
      <c r="I631" s="8"/>
      <c r="J631" s="8"/>
      <c r="K631" s="8"/>
      <c r="L631" s="9" t="s">
        <v>1542</v>
      </c>
      <c r="M631" s="8"/>
    </row>
    <row r="632" spans="1:13" x14ac:dyDescent="0.25">
      <c r="A632" s="29" t="s">
        <v>2411</v>
      </c>
      <c r="B632" s="67">
        <v>29065742875</v>
      </c>
      <c r="C632" s="29" t="s">
        <v>2412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2413</v>
      </c>
      <c r="B633" s="67">
        <v>39491305867</v>
      </c>
      <c r="C633" s="72" t="s">
        <v>2414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2415</v>
      </c>
      <c r="B634" s="67">
        <v>35049140846</v>
      </c>
      <c r="C634" s="18" t="s">
        <v>2416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2417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1423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2418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1703</v>
      </c>
      <c r="M636" s="8"/>
    </row>
    <row r="637" spans="1:13" x14ac:dyDescent="0.25">
      <c r="A637" s="71" t="s">
        <v>2419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1423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2420</v>
      </c>
      <c r="B638" s="67"/>
      <c r="C638" s="18" t="s">
        <v>2421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2422</v>
      </c>
      <c r="B639" s="67">
        <v>198674503</v>
      </c>
      <c r="C639" s="18" t="s">
        <v>2423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2424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2425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2426</v>
      </c>
      <c r="B642" s="67">
        <v>28074733858</v>
      </c>
      <c r="C642" s="72" t="s">
        <v>2427</v>
      </c>
      <c r="D642" s="69">
        <v>18033766867</v>
      </c>
      <c r="E642" s="9">
        <v>810</v>
      </c>
      <c r="F642" s="25">
        <v>42915</v>
      </c>
      <c r="G642" s="70" t="s">
        <v>1423</v>
      </c>
      <c r="H642" s="9"/>
      <c r="I642" s="8"/>
      <c r="J642" s="8"/>
      <c r="K642" s="8"/>
      <c r="L642" s="9" t="s">
        <v>1542</v>
      </c>
      <c r="M642" s="8"/>
    </row>
    <row r="643" spans="1:13" x14ac:dyDescent="0.25">
      <c r="A643" s="71" t="s">
        <v>2428</v>
      </c>
      <c r="B643" s="67">
        <v>41583475800</v>
      </c>
      <c r="C643" s="72" t="s">
        <v>2429</v>
      </c>
      <c r="D643" s="69">
        <v>47688665817</v>
      </c>
      <c r="E643" s="9">
        <v>810</v>
      </c>
      <c r="F643" s="25">
        <v>42915</v>
      </c>
      <c r="G643" s="70" t="s">
        <v>1423</v>
      </c>
      <c r="H643" s="9"/>
      <c r="I643" s="8"/>
      <c r="J643" s="8"/>
      <c r="K643" s="8"/>
      <c r="L643" s="9" t="s">
        <v>1542</v>
      </c>
      <c r="M643" s="8"/>
    </row>
    <row r="644" spans="1:13" x14ac:dyDescent="0.25">
      <c r="A644" s="71" t="s">
        <v>2430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1423</v>
      </c>
      <c r="H644" s="9"/>
      <c r="I644" s="8"/>
      <c r="J644" s="8"/>
      <c r="K644" s="8"/>
      <c r="L644" s="9" t="s">
        <v>1542</v>
      </c>
      <c r="M644" s="8"/>
    </row>
    <row r="645" spans="1:13" x14ac:dyDescent="0.25">
      <c r="A645" s="13" t="s">
        <v>2431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1423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2432</v>
      </c>
      <c r="B646" s="67"/>
      <c r="C646" s="18" t="s">
        <v>1533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2433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1423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2434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1423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2435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2436</v>
      </c>
      <c r="B650" s="67">
        <v>80234836334</v>
      </c>
      <c r="C650" s="72" t="s">
        <v>2437</v>
      </c>
      <c r="D650" s="69">
        <v>22522250841</v>
      </c>
      <c r="E650" s="9">
        <v>1267</v>
      </c>
      <c r="F650" s="25">
        <v>42998</v>
      </c>
      <c r="G650" s="70" t="s">
        <v>1423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2438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1423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2439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1423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2440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2441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1423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2442</v>
      </c>
      <c r="B655" s="67">
        <v>7385460895</v>
      </c>
      <c r="C655" s="72" t="s">
        <v>2443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2444</v>
      </c>
      <c r="B656" s="67">
        <v>31828009814</v>
      </c>
      <c r="C656" s="18" t="s">
        <v>2445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2446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1423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2447</v>
      </c>
      <c r="B658" s="67">
        <v>15090098840</v>
      </c>
      <c r="C658" s="72" t="s">
        <v>2448</v>
      </c>
      <c r="D658" s="69">
        <v>3376233845</v>
      </c>
      <c r="E658" s="9">
        <v>1752</v>
      </c>
      <c r="F658" s="25">
        <v>43051</v>
      </c>
      <c r="G658" s="70" t="s">
        <v>1423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2449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1423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2450</v>
      </c>
      <c r="B660" s="67">
        <v>30652965865</v>
      </c>
      <c r="C660" s="72" t="s">
        <v>2451</v>
      </c>
      <c r="D660" s="69">
        <v>23330127813</v>
      </c>
      <c r="E660" s="9">
        <v>1214</v>
      </c>
      <c r="F660" s="25">
        <v>42989</v>
      </c>
      <c r="G660" s="70" t="s">
        <v>1423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2452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1423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2453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2454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1423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2455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1703</v>
      </c>
      <c r="M664" s="8"/>
    </row>
    <row r="665" spans="1:13" x14ac:dyDescent="0.25">
      <c r="A665" s="71" t="s">
        <v>2456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1423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2457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1423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2458</v>
      </c>
      <c r="B667" s="67">
        <v>39898491825</v>
      </c>
      <c r="C667" s="72" t="s">
        <v>2459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2460</v>
      </c>
      <c r="B668" s="67">
        <v>96629428587</v>
      </c>
      <c r="C668" s="29" t="s">
        <v>2461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2462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1423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2463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1423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2464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2465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1423</v>
      </c>
      <c r="H672" s="9"/>
      <c r="I672" s="8"/>
      <c r="J672" s="8"/>
      <c r="K672" s="8"/>
      <c r="L672" s="9" t="s">
        <v>1657</v>
      </c>
      <c r="M672" s="8"/>
    </row>
    <row r="673" spans="1:13" x14ac:dyDescent="0.25">
      <c r="A673" s="71" t="s">
        <v>2466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1423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2467</v>
      </c>
      <c r="B674" s="67">
        <v>11438313810</v>
      </c>
      <c r="C674" s="72" t="s">
        <v>2468</v>
      </c>
      <c r="D674" s="69">
        <v>11400812844</v>
      </c>
      <c r="E674" s="9">
        <v>292</v>
      </c>
      <c r="F674" s="25">
        <v>43168</v>
      </c>
      <c r="G674" s="70" t="s">
        <v>1423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2469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2470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1423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2471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1423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2472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2473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2474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1423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2475</v>
      </c>
      <c r="B681" s="34">
        <v>31970473894</v>
      </c>
      <c r="C681" s="17" t="s">
        <v>2476</v>
      </c>
      <c r="D681" s="35">
        <v>22945039885</v>
      </c>
      <c r="E681" s="36">
        <v>1128</v>
      </c>
      <c r="F681" s="37">
        <v>42972</v>
      </c>
      <c r="G681" s="38" t="s">
        <v>1423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2477</v>
      </c>
      <c r="B682" s="67">
        <v>29486419850</v>
      </c>
      <c r="C682" s="72" t="s">
        <v>2478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2479</v>
      </c>
      <c r="B683" s="67">
        <v>73699993272</v>
      </c>
      <c r="C683" s="72" t="s">
        <v>2480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2481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1423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2482</v>
      </c>
      <c r="B685" s="67">
        <v>34833459817</v>
      </c>
      <c r="C685" s="68" t="s">
        <v>2483</v>
      </c>
      <c r="D685" s="69">
        <v>32077064870</v>
      </c>
      <c r="E685" s="9">
        <v>1128</v>
      </c>
      <c r="F685" s="25">
        <v>42972</v>
      </c>
      <c r="G685" s="70" t="s">
        <v>1423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2484</v>
      </c>
      <c r="B686" s="67">
        <v>15203953880</v>
      </c>
      <c r="C686" s="72" t="s">
        <v>2485</v>
      </c>
      <c r="D686" s="69">
        <v>16339364810</v>
      </c>
      <c r="E686" s="9">
        <v>229</v>
      </c>
      <c r="F686" s="25">
        <v>43151</v>
      </c>
      <c r="G686" s="70" t="s">
        <v>1429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2486</v>
      </c>
      <c r="B687" s="67">
        <v>23891239882</v>
      </c>
      <c r="C687" s="72" t="s">
        <v>2487</v>
      </c>
      <c r="D687" s="69">
        <v>22474449892</v>
      </c>
      <c r="E687" s="9">
        <v>1555</v>
      </c>
      <c r="F687" s="25">
        <v>43049</v>
      </c>
      <c r="G687" s="70" t="s">
        <v>1423</v>
      </c>
      <c r="H687" s="9"/>
      <c r="I687" s="8"/>
      <c r="J687" s="8"/>
      <c r="K687" s="8"/>
      <c r="L687" s="9" t="s">
        <v>1802</v>
      </c>
      <c r="M687" s="8"/>
    </row>
    <row r="688" spans="1:13" x14ac:dyDescent="0.25">
      <c r="A688" s="15" t="s">
        <v>2488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1423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2489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1423</v>
      </c>
      <c r="H689" s="9"/>
      <c r="I689" s="8"/>
      <c r="J689" s="8"/>
      <c r="K689" s="8"/>
      <c r="L689" s="9" t="s">
        <v>1542</v>
      </c>
      <c r="M689" s="8"/>
    </row>
    <row r="690" spans="1:13" x14ac:dyDescent="0.25">
      <c r="A690" s="72" t="s">
        <v>2490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1703</v>
      </c>
      <c r="M690" s="8"/>
    </row>
    <row r="691" spans="1:13" x14ac:dyDescent="0.25">
      <c r="A691" s="13" t="s">
        <v>2491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1423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2492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2493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1423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2494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2495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1423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2496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1429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2497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1423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2498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1423</v>
      </c>
      <c r="H698" s="9"/>
      <c r="I698" s="8"/>
      <c r="J698" s="8"/>
      <c r="K698" s="8"/>
      <c r="L698" s="9" t="s">
        <v>1542</v>
      </c>
      <c r="M698" s="8"/>
    </row>
    <row r="699" spans="1:13" x14ac:dyDescent="0.25">
      <c r="A699" s="71" t="s">
        <v>2499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2500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1423</v>
      </c>
      <c r="H700" s="9"/>
      <c r="I700" s="8"/>
      <c r="J700" s="8"/>
      <c r="K700" s="8"/>
      <c r="L700" s="9" t="s">
        <v>1564</v>
      </c>
      <c r="M700" s="8"/>
    </row>
    <row r="701" spans="1:13" x14ac:dyDescent="0.25">
      <c r="A701" s="71" t="s">
        <v>2501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2502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2503</v>
      </c>
      <c r="B703" s="67">
        <v>25698933820</v>
      </c>
      <c r="C703" s="72" t="s">
        <v>2504</v>
      </c>
      <c r="D703" s="69">
        <v>14047433837</v>
      </c>
      <c r="E703" s="9">
        <v>810</v>
      </c>
      <c r="F703" s="25">
        <v>42915</v>
      </c>
      <c r="G703" s="70" t="s">
        <v>1423</v>
      </c>
      <c r="H703" s="76">
        <v>43213</v>
      </c>
      <c r="I703" s="8"/>
      <c r="J703" s="8"/>
      <c r="K703" s="8"/>
      <c r="L703" s="9" t="s">
        <v>1542</v>
      </c>
      <c r="M703" s="8"/>
    </row>
    <row r="704" spans="1:13" x14ac:dyDescent="0.25">
      <c r="A704" s="71" t="s">
        <v>2505</v>
      </c>
      <c r="B704" s="67">
        <v>34806644315</v>
      </c>
      <c r="C704" s="72" t="s">
        <v>2506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2507</v>
      </c>
      <c r="B705" s="67">
        <v>33189488886</v>
      </c>
      <c r="C705" s="72" t="s">
        <v>2508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2509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1423</v>
      </c>
      <c r="H706" s="76">
        <v>43213</v>
      </c>
      <c r="I706" s="8"/>
      <c r="J706" s="8"/>
      <c r="K706" s="8"/>
      <c r="L706" s="9" t="s">
        <v>1542</v>
      </c>
      <c r="M706" s="8"/>
    </row>
    <row r="707" spans="1:13" x14ac:dyDescent="0.25">
      <c r="A707" s="71" t="s">
        <v>2510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1423</v>
      </c>
      <c r="H707" s="76">
        <v>43213</v>
      </c>
      <c r="I707" s="8"/>
      <c r="J707" s="8"/>
      <c r="K707" s="8"/>
      <c r="L707" s="9" t="s">
        <v>1802</v>
      </c>
      <c r="M707" s="8"/>
    </row>
    <row r="708" spans="1:13" x14ac:dyDescent="0.25">
      <c r="A708" s="13" t="s">
        <v>2511</v>
      </c>
      <c r="B708" s="67">
        <v>28390636549</v>
      </c>
      <c r="C708" s="72" t="s">
        <v>2512</v>
      </c>
      <c r="D708" s="69">
        <v>49042904534</v>
      </c>
      <c r="E708" s="9">
        <v>1343</v>
      </c>
      <c r="F708" s="25">
        <v>43004</v>
      </c>
      <c r="G708" s="70" t="s">
        <v>1423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2513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2514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1423</v>
      </c>
      <c r="H710" s="76">
        <v>43213</v>
      </c>
      <c r="I710" s="8"/>
      <c r="J710" s="8"/>
      <c r="K710" s="8"/>
      <c r="L710" s="9" t="s">
        <v>1542</v>
      </c>
      <c r="M710" s="8"/>
    </row>
    <row r="711" spans="1:13" x14ac:dyDescent="0.25">
      <c r="A711" s="71" t="s">
        <v>2515</v>
      </c>
      <c r="B711" s="67">
        <v>27863123534</v>
      </c>
      <c r="C711" s="72" t="s">
        <v>2516</v>
      </c>
      <c r="D711" s="69">
        <v>33480142800</v>
      </c>
      <c r="E711" s="9">
        <v>1214</v>
      </c>
      <c r="F711" s="25">
        <v>42989</v>
      </c>
      <c r="G711" s="70" t="s">
        <v>1423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2517</v>
      </c>
      <c r="B712" s="67">
        <v>39454972804</v>
      </c>
      <c r="C712" s="72" t="s">
        <v>2518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2519</v>
      </c>
      <c r="B713" s="67"/>
      <c r="C713" s="29" t="s">
        <v>2520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2521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1423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2522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1423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2523</v>
      </c>
      <c r="B716" s="67">
        <v>17810014803</v>
      </c>
      <c r="C716" s="72" t="s">
        <v>2524</v>
      </c>
      <c r="D716" s="69">
        <v>28934526807</v>
      </c>
      <c r="E716" s="9">
        <v>292</v>
      </c>
      <c r="F716" s="25">
        <v>43168</v>
      </c>
      <c r="G716" s="9" t="s">
        <v>1423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2525</v>
      </c>
      <c r="B717" s="67">
        <v>724258574</v>
      </c>
      <c r="C717" s="72" t="s">
        <v>2526</v>
      </c>
      <c r="D717" s="69">
        <v>18303361856</v>
      </c>
      <c r="E717" s="9">
        <v>262</v>
      </c>
      <c r="F717" s="25">
        <v>43160</v>
      </c>
      <c r="G717" s="70" t="s">
        <v>1423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2527</v>
      </c>
      <c r="B718" s="67">
        <v>37453999863</v>
      </c>
      <c r="C718" s="72" t="s">
        <v>2528</v>
      </c>
      <c r="D718" s="69"/>
      <c r="E718" s="9">
        <v>1241</v>
      </c>
      <c r="F718" s="25">
        <v>42992</v>
      </c>
      <c r="G718" s="70" t="s">
        <v>1423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2529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2530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1423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2531</v>
      </c>
      <c r="B721" s="67">
        <v>30308539850</v>
      </c>
      <c r="C721" s="72" t="s">
        <v>2532</v>
      </c>
      <c r="D721" s="69">
        <v>84739517434</v>
      </c>
      <c r="E721" s="9">
        <v>810</v>
      </c>
      <c r="F721" s="25">
        <v>42915</v>
      </c>
      <c r="G721" s="70" t="s">
        <v>1423</v>
      </c>
      <c r="H721" s="9"/>
      <c r="I721" s="8"/>
      <c r="J721" s="8"/>
      <c r="K721" s="8"/>
      <c r="L721" s="9" t="s">
        <v>1542</v>
      </c>
      <c r="M721" s="8"/>
    </row>
    <row r="722" spans="1:13" x14ac:dyDescent="0.25">
      <c r="A722" s="71" t="s">
        <v>2533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2534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2535</v>
      </c>
      <c r="B724" s="67">
        <v>21716687845</v>
      </c>
      <c r="C724" s="15" t="s">
        <v>2536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2537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1423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2538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1423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2539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1423</v>
      </c>
      <c r="H727" s="9"/>
      <c r="I727" s="8"/>
      <c r="J727" s="8"/>
      <c r="K727" s="8"/>
      <c r="L727" s="9" t="s">
        <v>1657</v>
      </c>
      <c r="M727" s="8"/>
    </row>
    <row r="728" spans="1:13" x14ac:dyDescent="0.25">
      <c r="A728" s="14" t="s">
        <v>2540</v>
      </c>
      <c r="B728" s="67">
        <v>99658925553</v>
      </c>
      <c r="C728" s="72" t="s">
        <v>2541</v>
      </c>
      <c r="D728" s="69">
        <v>99610108504</v>
      </c>
      <c r="E728" s="9">
        <v>262</v>
      </c>
      <c r="F728" s="25">
        <v>43160</v>
      </c>
      <c r="G728" s="70" t="s">
        <v>1423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2542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1423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2543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1423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2544</v>
      </c>
      <c r="B731" s="67"/>
      <c r="C731" s="18" t="s">
        <v>1533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2545</v>
      </c>
      <c r="B732" s="67">
        <v>25905224870</v>
      </c>
      <c r="C732" s="68" t="s">
        <v>2546</v>
      </c>
      <c r="D732" s="69">
        <v>36185256304</v>
      </c>
      <c r="E732" s="9">
        <v>1824</v>
      </c>
      <c r="F732" s="25">
        <v>43091</v>
      </c>
      <c r="G732" s="70" t="s">
        <v>1423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2547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1423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2548</v>
      </c>
      <c r="B734" s="67">
        <v>33160363856</v>
      </c>
      <c r="C734" s="72" t="s">
        <v>2549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2550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1423</v>
      </c>
      <c r="H735" s="9"/>
      <c r="I735" s="8"/>
      <c r="J735" s="8"/>
      <c r="K735" s="8"/>
      <c r="L735" s="9" t="s">
        <v>1657</v>
      </c>
      <c r="M735" s="8"/>
    </row>
    <row r="736" spans="1:13" x14ac:dyDescent="0.25">
      <c r="A736" s="15" t="s">
        <v>2551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1423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2552</v>
      </c>
      <c r="B737" s="67">
        <v>71752722434</v>
      </c>
      <c r="C737" s="18" t="s">
        <v>1533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2553</v>
      </c>
      <c r="B738" s="67">
        <v>8590565890</v>
      </c>
      <c r="C738" s="72" t="s">
        <v>2554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1703</v>
      </c>
      <c r="M738" s="8"/>
    </row>
    <row r="739" spans="1:13" x14ac:dyDescent="0.25">
      <c r="A739" s="71" t="s">
        <v>2555</v>
      </c>
      <c r="B739" s="67">
        <v>35556660883</v>
      </c>
      <c r="C739" s="72" t="s">
        <v>2556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2557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2558</v>
      </c>
      <c r="B741" s="67">
        <v>25905305870</v>
      </c>
      <c r="C741" s="72" t="s">
        <v>2559</v>
      </c>
      <c r="D741" s="69">
        <v>11480794830</v>
      </c>
      <c r="E741" s="9">
        <v>1267</v>
      </c>
      <c r="F741" s="25">
        <v>42998</v>
      </c>
      <c r="G741" s="70" t="s">
        <v>1423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2560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2561</v>
      </c>
      <c r="B743" s="67">
        <v>18360141800</v>
      </c>
      <c r="C743" s="72" t="s">
        <v>2562</v>
      </c>
      <c r="D743" s="69">
        <v>48201979591</v>
      </c>
      <c r="E743" s="9">
        <v>117</v>
      </c>
      <c r="F743" s="25">
        <v>43117</v>
      </c>
      <c r="G743" s="70" t="s">
        <v>1423</v>
      </c>
      <c r="H743" s="9"/>
      <c r="I743" s="8"/>
      <c r="J743" s="8"/>
      <c r="K743" s="8"/>
      <c r="L743" s="9" t="s">
        <v>1574</v>
      </c>
      <c r="M743" s="8"/>
    </row>
    <row r="744" spans="1:13" x14ac:dyDescent="0.25">
      <c r="A744" s="15" t="s">
        <v>2563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1574</v>
      </c>
      <c r="M744" s="8"/>
    </row>
    <row r="745" spans="1:13" x14ac:dyDescent="0.25">
      <c r="A745" s="71" t="s">
        <v>2564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2565</v>
      </c>
      <c r="B746" s="67">
        <v>36613647829</v>
      </c>
      <c r="C746" s="72" t="s">
        <v>2566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2567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1423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2568</v>
      </c>
      <c r="B748" s="67">
        <v>25332480881</v>
      </c>
      <c r="C748" s="18" t="s">
        <v>1533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2569</v>
      </c>
      <c r="B749" s="67">
        <v>16365042809</v>
      </c>
      <c r="C749" s="72" t="s">
        <v>2570</v>
      </c>
      <c r="D749" s="69">
        <v>26488933850</v>
      </c>
      <c r="E749" s="9">
        <v>117</v>
      </c>
      <c r="F749" s="25">
        <v>43117</v>
      </c>
      <c r="G749" s="70" t="s">
        <v>1423</v>
      </c>
      <c r="H749" s="25">
        <v>43151</v>
      </c>
      <c r="I749" s="8"/>
      <c r="J749" s="8"/>
      <c r="K749" s="8"/>
      <c r="L749" s="9" t="s">
        <v>1574</v>
      </c>
      <c r="M749" s="8"/>
    </row>
    <row r="750" spans="1:13" x14ac:dyDescent="0.25">
      <c r="A750" s="15" t="s">
        <v>2571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1423</v>
      </c>
      <c r="H750" s="25">
        <v>43151</v>
      </c>
      <c r="I750" s="8"/>
      <c r="J750" s="8"/>
      <c r="K750" s="8"/>
      <c r="L750" s="9" t="s">
        <v>1574</v>
      </c>
      <c r="M750" s="8"/>
    </row>
    <row r="751" spans="1:13" x14ac:dyDescent="0.25">
      <c r="A751" s="71" t="s">
        <v>2572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2573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1429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2574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1423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2575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1423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2576</v>
      </c>
      <c r="B755" s="67"/>
      <c r="C755" s="18" t="s">
        <v>1533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2577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2578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1423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2579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2580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1542</v>
      </c>
      <c r="M759" s="8"/>
    </row>
    <row r="760" spans="1:13" x14ac:dyDescent="0.25">
      <c r="A760" s="71" t="s">
        <v>2581</v>
      </c>
      <c r="B760" s="67">
        <v>41756319847</v>
      </c>
      <c r="C760" s="72" t="s">
        <v>2582</v>
      </c>
      <c r="D760" s="69">
        <v>28780799817</v>
      </c>
      <c r="E760" s="9">
        <v>1489</v>
      </c>
      <c r="F760" s="25">
        <v>43038</v>
      </c>
      <c r="G760" s="70" t="s">
        <v>1437</v>
      </c>
      <c r="H760" s="9"/>
      <c r="I760" s="8"/>
      <c r="J760" s="8"/>
      <c r="K760" s="8"/>
      <c r="L760" s="9" t="s">
        <v>1564</v>
      </c>
      <c r="M760" s="8"/>
    </row>
    <row r="761" spans="1:13" x14ac:dyDescent="0.25">
      <c r="A761" s="71" t="s">
        <v>2583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1423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2584</v>
      </c>
      <c r="B762" s="67"/>
      <c r="C762" s="29" t="s">
        <v>1533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2585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2586</v>
      </c>
      <c r="B764" s="67">
        <v>39762019873</v>
      </c>
      <c r="C764" s="68" t="s">
        <v>2587</v>
      </c>
      <c r="D764" s="69">
        <v>28639452890</v>
      </c>
      <c r="E764" s="9">
        <v>1128</v>
      </c>
      <c r="F764" s="25">
        <v>42972</v>
      </c>
      <c r="G764" s="70" t="s">
        <v>1423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2588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1423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2589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2590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1423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2591</v>
      </c>
      <c r="B768" s="67">
        <v>21914504828</v>
      </c>
      <c r="C768" s="72" t="s">
        <v>2592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2593</v>
      </c>
      <c r="B769" s="67">
        <v>11259745830</v>
      </c>
      <c r="C769" s="72" t="s">
        <v>2594</v>
      </c>
      <c r="D769" s="69">
        <v>49121901368</v>
      </c>
      <c r="E769" s="9">
        <v>262</v>
      </c>
      <c r="F769" s="25">
        <v>43160</v>
      </c>
      <c r="G769" s="70" t="s">
        <v>1423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2595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1423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2596</v>
      </c>
      <c r="B771" s="67">
        <v>22547591839</v>
      </c>
      <c r="C771" s="72" t="s">
        <v>2597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2598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2599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2600</v>
      </c>
      <c r="B774" s="67">
        <v>9881940400</v>
      </c>
      <c r="C774" s="72" t="s">
        <v>2601</v>
      </c>
      <c r="D774" s="69">
        <v>1778905501</v>
      </c>
      <c r="E774" s="9">
        <v>262</v>
      </c>
      <c r="F774" s="25">
        <v>43160</v>
      </c>
      <c r="G774" s="70" t="s">
        <v>1429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2602</v>
      </c>
      <c r="B775" s="67">
        <v>18240627889</v>
      </c>
      <c r="C775" s="77" t="s">
        <v>2603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2604</v>
      </c>
      <c r="B776" s="67">
        <v>34715955890</v>
      </c>
      <c r="C776" s="72" t="s">
        <v>2605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2606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1423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2607</v>
      </c>
      <c r="B778" s="67">
        <v>2413902490</v>
      </c>
      <c r="C778" s="77" t="s">
        <v>2608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2609</v>
      </c>
      <c r="B779" s="67">
        <v>30558706894</v>
      </c>
      <c r="C779" s="72" t="s">
        <v>2610</v>
      </c>
      <c r="D779" s="69">
        <v>87700352372</v>
      </c>
      <c r="E779" s="9">
        <v>810</v>
      </c>
      <c r="F779" s="25">
        <v>42915</v>
      </c>
      <c r="G779" s="70" t="s">
        <v>1423</v>
      </c>
      <c r="H779" s="9"/>
      <c r="I779" s="8"/>
      <c r="J779" s="8"/>
      <c r="K779" s="8"/>
      <c r="L779" s="9" t="s">
        <v>1542</v>
      </c>
      <c r="M779" s="8"/>
    </row>
    <row r="780" spans="1:13" x14ac:dyDescent="0.25">
      <c r="A780" s="71" t="s">
        <v>2611</v>
      </c>
      <c r="B780" s="67">
        <v>27926471836</v>
      </c>
      <c r="C780" s="72" t="s">
        <v>2612</v>
      </c>
      <c r="D780" s="69">
        <v>2210309484</v>
      </c>
      <c r="E780" s="9">
        <v>1439</v>
      </c>
      <c r="F780" s="25">
        <v>43025</v>
      </c>
      <c r="G780" s="70" t="s">
        <v>1429</v>
      </c>
      <c r="H780" s="9"/>
      <c r="I780" s="8"/>
      <c r="J780" s="8"/>
      <c r="K780" s="8"/>
      <c r="L780" s="9" t="s">
        <v>1906</v>
      </c>
      <c r="M780" s="8"/>
    </row>
    <row r="781" spans="1:13" x14ac:dyDescent="0.25">
      <c r="A781" s="15" t="s">
        <v>2613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1423</v>
      </c>
      <c r="H781" s="9"/>
      <c r="I781" s="8"/>
      <c r="J781" s="8"/>
      <c r="K781" s="8"/>
      <c r="L781" s="9" t="s">
        <v>1574</v>
      </c>
      <c r="M781" s="8"/>
    </row>
    <row r="782" spans="1:13" x14ac:dyDescent="0.25">
      <c r="A782" s="71" t="s">
        <v>2614</v>
      </c>
      <c r="B782" s="67">
        <v>47361352391</v>
      </c>
      <c r="C782" s="72" t="s">
        <v>2615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2616</v>
      </c>
      <c r="B783" s="67">
        <v>32763223826</v>
      </c>
      <c r="C783" s="72" t="s">
        <v>2617</v>
      </c>
      <c r="D783" s="69">
        <v>27936363807</v>
      </c>
      <c r="E783" s="9">
        <v>608</v>
      </c>
      <c r="F783" s="25">
        <v>43012</v>
      </c>
      <c r="G783" s="70" t="s">
        <v>1423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2618</v>
      </c>
      <c r="B784" s="67"/>
      <c r="C784" s="18" t="s">
        <v>2619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2620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1423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2621</v>
      </c>
      <c r="B786" s="67">
        <v>39068600869</v>
      </c>
      <c r="C786" s="72"/>
      <c r="D786" s="69"/>
      <c r="E786" s="9"/>
      <c r="F786" s="25"/>
      <c r="G786" s="70" t="s">
        <v>1423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2622</v>
      </c>
      <c r="B787" s="67">
        <v>31875471847</v>
      </c>
      <c r="C787" s="18" t="s">
        <v>2623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2624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2625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2626</v>
      </c>
      <c r="B790" s="67">
        <v>11634805844</v>
      </c>
      <c r="C790" s="29" t="s">
        <v>1533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2627</v>
      </c>
      <c r="B791" s="67">
        <v>39485124856</v>
      </c>
      <c r="C791" s="72" t="s">
        <v>2628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2629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2630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2631</v>
      </c>
      <c r="B794" s="67">
        <v>32221516877</v>
      </c>
      <c r="C794" s="72" t="s">
        <v>2632</v>
      </c>
      <c r="D794" s="69">
        <v>18338419800</v>
      </c>
      <c r="E794" s="9">
        <v>1752</v>
      </c>
      <c r="F794" s="25">
        <v>43051</v>
      </c>
      <c r="G794" s="70" t="s">
        <v>1423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2633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2634</v>
      </c>
      <c r="B796" s="67">
        <v>43951626810</v>
      </c>
      <c r="C796" s="72" t="s">
        <v>2635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2636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2637</v>
      </c>
      <c r="B798" s="67">
        <v>40840895836</v>
      </c>
      <c r="C798" s="72" t="s">
        <v>2638</v>
      </c>
      <c r="D798" s="69">
        <v>39329913890</v>
      </c>
      <c r="E798" s="9">
        <v>1106</v>
      </c>
      <c r="F798" s="25">
        <v>42965</v>
      </c>
      <c r="G798" s="70" t="s">
        <v>1423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2639</v>
      </c>
      <c r="B799" s="67">
        <v>30969194809</v>
      </c>
      <c r="C799" s="72" t="s">
        <v>2640</v>
      </c>
      <c r="D799" s="69">
        <v>13013456876</v>
      </c>
      <c r="E799" s="9">
        <v>810</v>
      </c>
      <c r="F799" s="25">
        <v>42915</v>
      </c>
      <c r="G799" s="70" t="s">
        <v>1423</v>
      </c>
      <c r="H799" s="76">
        <v>43213</v>
      </c>
      <c r="I799" s="8"/>
      <c r="J799" s="8"/>
      <c r="K799" s="8"/>
      <c r="L799" s="9" t="s">
        <v>1542</v>
      </c>
      <c r="M799" s="8"/>
    </row>
    <row r="800" spans="1:13" x14ac:dyDescent="0.25">
      <c r="A800" s="71" t="s">
        <v>2641</v>
      </c>
      <c r="B800" s="67">
        <v>33186484855</v>
      </c>
      <c r="C800" s="77" t="s">
        <v>2642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2643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1423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2644</v>
      </c>
      <c r="B802" s="67">
        <v>27298776819</v>
      </c>
      <c r="C802" s="72" t="s">
        <v>2645</v>
      </c>
      <c r="D802" s="69">
        <v>31387900544</v>
      </c>
      <c r="E802" s="9">
        <v>229</v>
      </c>
      <c r="F802" s="25">
        <v>43151</v>
      </c>
      <c r="G802" s="70" t="s">
        <v>1423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2646</v>
      </c>
      <c r="B803" s="67">
        <v>28802120811</v>
      </c>
      <c r="C803" s="72" t="s">
        <v>2647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2648</v>
      </c>
      <c r="B804" s="67">
        <v>34581351898</v>
      </c>
      <c r="C804" s="18" t="s">
        <v>2649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2650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2651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1423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2652</v>
      </c>
      <c r="B807" s="67"/>
      <c r="C807" s="29" t="s">
        <v>1533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2653</v>
      </c>
      <c r="B808" s="67">
        <v>40324052391</v>
      </c>
      <c r="C808" s="72" t="s">
        <v>2654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2655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1423</v>
      </c>
      <c r="H809" s="9"/>
      <c r="I809" s="8"/>
      <c r="J809" s="8"/>
      <c r="K809" s="8"/>
      <c r="L809" s="9" t="s">
        <v>1542</v>
      </c>
      <c r="M809" s="8"/>
    </row>
    <row r="810" spans="1:13" x14ac:dyDescent="0.25">
      <c r="A810" s="71" t="s">
        <v>2656</v>
      </c>
      <c r="B810" s="67">
        <v>29022777847</v>
      </c>
      <c r="C810" s="72" t="s">
        <v>2657</v>
      </c>
      <c r="D810" s="69">
        <v>33430349400</v>
      </c>
      <c r="E810" s="9">
        <v>262</v>
      </c>
      <c r="F810" s="25">
        <v>43160</v>
      </c>
      <c r="G810" s="70" t="s">
        <v>1423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2658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1423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2659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2660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1423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2661</v>
      </c>
      <c r="B814" s="67">
        <v>43523026865</v>
      </c>
      <c r="C814" s="72" t="s">
        <v>2662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2663</v>
      </c>
      <c r="B815" s="67"/>
      <c r="C815" s="29" t="s">
        <v>1533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2664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1423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2665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1423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2666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1423</v>
      </c>
      <c r="H818" s="9"/>
      <c r="I818" s="8"/>
      <c r="J818" s="8"/>
      <c r="K818" s="8"/>
      <c r="L818" s="9" t="s">
        <v>1542</v>
      </c>
      <c r="M818" s="8"/>
    </row>
    <row r="819" spans="1:13" x14ac:dyDescent="0.25">
      <c r="A819" s="71" t="s">
        <v>2667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2668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2669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1423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2670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1423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2671</v>
      </c>
      <c r="B823" s="67">
        <v>5102923480</v>
      </c>
      <c r="C823" s="72" t="s">
        <v>2672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2673</v>
      </c>
      <c r="B824" s="67">
        <v>7268622406</v>
      </c>
      <c r="C824" s="72" t="s">
        <v>2674</v>
      </c>
      <c r="D824" s="69">
        <v>40507630874</v>
      </c>
      <c r="E824" s="9">
        <v>1267</v>
      </c>
      <c r="F824" s="25">
        <v>42998</v>
      </c>
      <c r="G824" s="70" t="s">
        <v>1423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2675</v>
      </c>
      <c r="B825" s="67" t="s">
        <v>2676</v>
      </c>
      <c r="C825" s="77" t="s">
        <v>2677</v>
      </c>
      <c r="D825" s="69" t="s">
        <v>2678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2679</v>
      </c>
      <c r="B826" s="67"/>
      <c r="C826" s="29" t="s">
        <v>1533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2680</v>
      </c>
      <c r="B827" s="67">
        <v>31429224827</v>
      </c>
      <c r="C827" s="72" t="s">
        <v>2681</v>
      </c>
      <c r="D827" s="69">
        <v>27263725894</v>
      </c>
      <c r="E827" s="9">
        <v>292</v>
      </c>
      <c r="F827" s="25">
        <v>43168</v>
      </c>
      <c r="G827" s="70" t="s">
        <v>1429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2682</v>
      </c>
      <c r="B828" s="67">
        <v>3753540420</v>
      </c>
      <c r="C828" s="72" t="s">
        <v>2619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2683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2684</v>
      </c>
      <c r="B830" s="67">
        <v>36723660803</v>
      </c>
      <c r="C830" s="72" t="s">
        <v>2685</v>
      </c>
      <c r="D830" s="69">
        <v>32763586899</v>
      </c>
      <c r="E830" s="9">
        <v>608</v>
      </c>
      <c r="F830" s="25">
        <v>43012</v>
      </c>
      <c r="G830" s="70" t="s">
        <v>1423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2686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1423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2687</v>
      </c>
      <c r="B832" s="67">
        <v>166405462</v>
      </c>
      <c r="C832" s="15" t="s">
        <v>2688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2689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1423</v>
      </c>
      <c r="H833" s="9"/>
      <c r="I833" s="8"/>
      <c r="J833" s="8"/>
      <c r="K833" s="8"/>
      <c r="L833" s="9" t="s">
        <v>1542</v>
      </c>
      <c r="M833" s="8"/>
    </row>
    <row r="834" spans="1:13" x14ac:dyDescent="0.25">
      <c r="A834" s="15" t="s">
        <v>2690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1423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2691</v>
      </c>
      <c r="B835" s="67">
        <v>13621159835</v>
      </c>
      <c r="C835" s="72" t="s">
        <v>2692</v>
      </c>
      <c r="D835" s="69">
        <v>35124170867</v>
      </c>
      <c r="E835" s="9">
        <v>229</v>
      </c>
      <c r="F835" s="25">
        <v>43151</v>
      </c>
      <c r="G835" s="70" t="s">
        <v>1423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2693</v>
      </c>
      <c r="B836" s="67">
        <v>34649647878</v>
      </c>
      <c r="C836" s="72" t="s">
        <v>2694</v>
      </c>
      <c r="D836" s="69">
        <v>17811429802</v>
      </c>
      <c r="E836" s="9">
        <v>810</v>
      </c>
      <c r="F836" s="25">
        <v>42915</v>
      </c>
      <c r="G836" s="70" t="s">
        <v>1423</v>
      </c>
      <c r="H836" s="9"/>
      <c r="I836" s="8"/>
      <c r="J836" s="8"/>
      <c r="K836" s="8"/>
      <c r="L836" s="9" t="s">
        <v>1542</v>
      </c>
      <c r="M836" s="8"/>
    </row>
    <row r="837" spans="1:13" x14ac:dyDescent="0.25">
      <c r="A837" s="71" t="s">
        <v>2695</v>
      </c>
      <c r="B837" s="67">
        <v>25809517846</v>
      </c>
      <c r="C837" s="73" t="s">
        <v>2696</v>
      </c>
      <c r="D837" s="69">
        <v>68856830434</v>
      </c>
      <c r="E837" s="9">
        <v>292</v>
      </c>
      <c r="F837" s="25">
        <v>43168</v>
      </c>
      <c r="G837" s="70" t="s">
        <v>1429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2697</v>
      </c>
      <c r="B838" s="67">
        <v>6952730435</v>
      </c>
      <c r="C838" s="72" t="s">
        <v>2698</v>
      </c>
      <c r="D838" s="69">
        <v>8004608477</v>
      </c>
      <c r="E838" s="9">
        <v>810</v>
      </c>
      <c r="F838" s="25">
        <v>42915</v>
      </c>
      <c r="G838" s="70" t="s">
        <v>1423</v>
      </c>
      <c r="H838" s="9"/>
      <c r="I838" s="8"/>
      <c r="J838" s="8"/>
      <c r="K838" s="8"/>
      <c r="L838" s="9" t="s">
        <v>1542</v>
      </c>
      <c r="M838" s="8"/>
    </row>
    <row r="839" spans="1:13" x14ac:dyDescent="0.25">
      <c r="A839" s="71" t="s">
        <v>2699</v>
      </c>
      <c r="B839" s="67">
        <v>23440697800</v>
      </c>
      <c r="C839" s="72" t="s">
        <v>2700</v>
      </c>
      <c r="D839" s="69">
        <v>93690177553</v>
      </c>
      <c r="E839" s="9">
        <v>292</v>
      </c>
      <c r="F839" s="25">
        <v>43168</v>
      </c>
      <c r="G839" s="70" t="s">
        <v>1423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2701</v>
      </c>
      <c r="B840" s="67">
        <v>93567421549</v>
      </c>
      <c r="C840" s="72" t="s">
        <v>2702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2703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2704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1423</v>
      </c>
      <c r="H842" s="9"/>
      <c r="I842" s="8"/>
      <c r="J842" s="8"/>
      <c r="K842" s="8"/>
      <c r="L842" s="9" t="s">
        <v>1574</v>
      </c>
      <c r="M842" s="8"/>
    </row>
    <row r="843" spans="1:13" x14ac:dyDescent="0.25">
      <c r="A843" s="71" t="s">
        <v>2705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1423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2706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2707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1423</v>
      </c>
      <c r="H845" s="9"/>
      <c r="I845" s="8"/>
      <c r="J845" s="8"/>
      <c r="K845" s="8"/>
      <c r="L845" s="9" t="s">
        <v>1574</v>
      </c>
      <c r="M845" s="8"/>
    </row>
    <row r="846" spans="1:13" x14ac:dyDescent="0.25">
      <c r="A846" s="71" t="s">
        <v>2708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1423</v>
      </c>
      <c r="H846" s="9"/>
      <c r="I846" s="8"/>
      <c r="J846" s="8"/>
      <c r="K846" s="8"/>
      <c r="L846" s="9" t="s">
        <v>1657</v>
      </c>
      <c r="M846" s="8"/>
    </row>
    <row r="847" spans="1:13" x14ac:dyDescent="0.25">
      <c r="A847" s="71" t="s">
        <v>2709</v>
      </c>
      <c r="B847" s="67">
        <v>10762166843</v>
      </c>
      <c r="C847" s="72" t="s">
        <v>2710</v>
      </c>
      <c r="D847" s="69">
        <v>18471490811</v>
      </c>
      <c r="E847" s="9">
        <v>1752</v>
      </c>
      <c r="F847" s="25">
        <v>43051</v>
      </c>
      <c r="G847" s="83" t="s">
        <v>1423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2711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2712</v>
      </c>
      <c r="B849" s="67">
        <v>38988535863</v>
      </c>
      <c r="C849" s="72" t="s">
        <v>2713</v>
      </c>
      <c r="D849" s="69">
        <v>34543536886</v>
      </c>
      <c r="E849" s="9">
        <v>1555</v>
      </c>
      <c r="F849" s="25">
        <v>43049</v>
      </c>
      <c r="G849" s="70" t="s">
        <v>1423</v>
      </c>
      <c r="H849" s="9"/>
      <c r="I849" s="8"/>
      <c r="J849" s="8"/>
      <c r="K849" s="8"/>
      <c r="L849" s="9" t="s">
        <v>1802</v>
      </c>
      <c r="M849" s="8"/>
    </row>
    <row r="850" spans="1:13" x14ac:dyDescent="0.25">
      <c r="A850" s="71" t="s">
        <v>2714</v>
      </c>
      <c r="B850" s="67">
        <v>81902581334</v>
      </c>
      <c r="C850" s="72" t="s">
        <v>2715</v>
      </c>
      <c r="D850" s="69">
        <v>42305020368</v>
      </c>
      <c r="E850" s="9">
        <v>1752</v>
      </c>
      <c r="F850" s="25">
        <v>43051</v>
      </c>
      <c r="G850" s="70" t="s">
        <v>1423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2716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2717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1423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2718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1423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2719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2720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1423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2721</v>
      </c>
      <c r="B856" s="67">
        <v>36135801520</v>
      </c>
      <c r="C856" s="15" t="s">
        <v>2722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2723</v>
      </c>
      <c r="B857" s="67">
        <v>43231450802</v>
      </c>
      <c r="C857" s="72" t="s">
        <v>2724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2725</v>
      </c>
      <c r="B858" s="67">
        <v>38163601817</v>
      </c>
      <c r="C858" s="72" t="s">
        <v>2726</v>
      </c>
      <c r="D858" s="69">
        <v>36840584836</v>
      </c>
      <c r="E858" s="9">
        <v>292</v>
      </c>
      <c r="F858" s="25">
        <v>43168</v>
      </c>
      <c r="G858" s="70" t="s">
        <v>1423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2727</v>
      </c>
      <c r="B859" s="67">
        <v>40853154805</v>
      </c>
      <c r="C859" s="72" t="s">
        <v>2728</v>
      </c>
      <c r="D859" s="69">
        <v>23596403804</v>
      </c>
      <c r="E859" s="9">
        <v>229</v>
      </c>
      <c r="F859" s="25">
        <v>43151</v>
      </c>
      <c r="G859" s="70" t="s">
        <v>1423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2729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1423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2730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2731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1423</v>
      </c>
      <c r="H862" s="9"/>
      <c r="I862" s="8"/>
      <c r="J862" s="8"/>
      <c r="K862" s="8"/>
      <c r="L862" s="9" t="s">
        <v>1802</v>
      </c>
      <c r="M862" s="8"/>
    </row>
    <row r="863" spans="1:13" x14ac:dyDescent="0.25">
      <c r="A863" s="14" t="s">
        <v>2732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1423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2733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1423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2734</v>
      </c>
      <c r="B865" s="67">
        <v>30708968805</v>
      </c>
      <c r="C865" s="72" t="s">
        <v>2735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2736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2737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1423</v>
      </c>
      <c r="H867" s="9"/>
      <c r="I867" s="8"/>
      <c r="J867" s="8"/>
      <c r="K867" s="8"/>
      <c r="L867" s="9" t="s">
        <v>1542</v>
      </c>
      <c r="M867" s="8"/>
    </row>
    <row r="868" spans="1:13" x14ac:dyDescent="0.25">
      <c r="A868" s="71" t="s">
        <v>2738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2739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1423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2740</v>
      </c>
      <c r="B870" s="67">
        <v>41379878829</v>
      </c>
      <c r="C870" s="72" t="s">
        <v>2741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2742</v>
      </c>
      <c r="B871" s="67">
        <v>31471499863</v>
      </c>
      <c r="C871" s="72" t="s">
        <v>2743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2744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1423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2745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1423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2746</v>
      </c>
      <c r="B874" s="67">
        <v>27878860866</v>
      </c>
      <c r="C874" s="72" t="s">
        <v>2747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2748</v>
      </c>
      <c r="B875" s="67">
        <v>25002291813</v>
      </c>
      <c r="C875" s="72" t="s">
        <v>2749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2750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2751</v>
      </c>
      <c r="B877" s="67"/>
      <c r="C877" s="29" t="s">
        <v>2752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2753</v>
      </c>
      <c r="B878" s="67">
        <v>7205116589</v>
      </c>
      <c r="C878" s="72" t="s">
        <v>2754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2755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2756</v>
      </c>
      <c r="B880" s="67">
        <v>82084602491</v>
      </c>
      <c r="C880" s="72" t="s">
        <v>2757</v>
      </c>
      <c r="D880" s="69">
        <v>74937758420</v>
      </c>
      <c r="E880" s="9">
        <v>292</v>
      </c>
      <c r="F880" s="25">
        <v>43168</v>
      </c>
      <c r="G880" s="9" t="s">
        <v>1423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2758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2759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2760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1423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2761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1423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2762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2763</v>
      </c>
      <c r="B886" s="67">
        <v>63234904553</v>
      </c>
      <c r="C886" s="68" t="s">
        <v>2764</v>
      </c>
      <c r="D886" s="69">
        <v>1193464870</v>
      </c>
      <c r="E886" s="9">
        <v>1128</v>
      </c>
      <c r="F886" s="25">
        <v>42972</v>
      </c>
      <c r="G886" s="70" t="s">
        <v>1423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2765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2766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2767</v>
      </c>
      <c r="B889" s="67">
        <v>30967680808</v>
      </c>
      <c r="C889" s="18" t="s">
        <v>2768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2769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1423</v>
      </c>
      <c r="H890" s="9"/>
      <c r="I890" s="8"/>
      <c r="J890" s="8"/>
      <c r="K890" s="8"/>
      <c r="L890" s="9" t="s">
        <v>1542</v>
      </c>
      <c r="M890" s="8"/>
    </row>
    <row r="891" spans="1:13" x14ac:dyDescent="0.25">
      <c r="A891" s="15" t="s">
        <v>2770</v>
      </c>
      <c r="B891" s="67">
        <v>3570397696</v>
      </c>
      <c r="C891" s="72" t="s">
        <v>2771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2772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2773</v>
      </c>
      <c r="B893" s="67">
        <v>1170658547</v>
      </c>
      <c r="C893" s="72" t="s">
        <v>2774</v>
      </c>
      <c r="D893" s="69">
        <v>2695281560</v>
      </c>
      <c r="E893" s="9">
        <v>1824</v>
      </c>
      <c r="F893" s="25">
        <v>43091</v>
      </c>
      <c r="G893" s="70" t="s">
        <v>1429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2775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1423</v>
      </c>
      <c r="H894" s="9"/>
      <c r="I894" s="8"/>
      <c r="J894" s="8"/>
      <c r="K894" s="8"/>
      <c r="L894" s="9" t="s">
        <v>1542</v>
      </c>
      <c r="M894" s="8"/>
    </row>
    <row r="895" spans="1:13" x14ac:dyDescent="0.25">
      <c r="A895" s="71" t="s">
        <v>2776</v>
      </c>
      <c r="B895" s="67">
        <v>29927032811</v>
      </c>
      <c r="C895" s="72" t="s">
        <v>2777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2778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2779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1423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2780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1423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2781</v>
      </c>
      <c r="B899" s="67">
        <v>37064427877</v>
      </c>
      <c r="C899" s="68" t="s">
        <v>2782</v>
      </c>
      <c r="D899" s="69">
        <v>34881680854</v>
      </c>
      <c r="E899" s="9">
        <v>1128</v>
      </c>
      <c r="F899" s="25">
        <v>42972</v>
      </c>
      <c r="G899" s="70" t="s">
        <v>1423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2783</v>
      </c>
      <c r="B900" s="67">
        <v>34712023821</v>
      </c>
      <c r="C900" s="72" t="s">
        <v>2784</v>
      </c>
      <c r="D900" s="69">
        <v>80700918868</v>
      </c>
      <c r="E900" s="9">
        <v>117</v>
      </c>
      <c r="F900" s="25">
        <v>43117</v>
      </c>
      <c r="G900" s="70" t="s">
        <v>1423</v>
      </c>
      <c r="H900" s="9"/>
      <c r="I900" s="8"/>
      <c r="J900" s="8"/>
      <c r="K900" s="8"/>
      <c r="L900" s="9" t="s">
        <v>1574</v>
      </c>
      <c r="M900" s="8"/>
    </row>
    <row r="901" spans="1:13" x14ac:dyDescent="0.25">
      <c r="A901" s="71" t="s">
        <v>2785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1423</v>
      </c>
      <c r="H901" s="9"/>
      <c r="I901" s="8"/>
      <c r="J901" s="8"/>
      <c r="K901" s="8"/>
      <c r="L901" s="9" t="s">
        <v>1542</v>
      </c>
      <c r="M901" s="8"/>
    </row>
    <row r="902" spans="1:13" x14ac:dyDescent="0.25">
      <c r="A902" s="71" t="s">
        <v>2786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2787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1423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2788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1423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2789</v>
      </c>
      <c r="B905" s="67">
        <v>42517278865</v>
      </c>
      <c r="C905" s="72" t="s">
        <v>2790</v>
      </c>
      <c r="D905" s="69">
        <v>45677965863</v>
      </c>
      <c r="E905" s="9">
        <v>117</v>
      </c>
      <c r="F905" s="25">
        <v>43117</v>
      </c>
      <c r="G905" s="70" t="s">
        <v>1423</v>
      </c>
      <c r="H905" s="9"/>
      <c r="I905" s="8"/>
      <c r="J905" s="8"/>
      <c r="K905" s="8"/>
      <c r="L905" s="9" t="s">
        <v>1574</v>
      </c>
      <c r="M905" s="8"/>
    </row>
    <row r="906" spans="1:13" x14ac:dyDescent="0.25">
      <c r="A906" s="18" t="s">
        <v>2791</v>
      </c>
      <c r="B906" s="67">
        <v>34053574897</v>
      </c>
      <c r="C906" s="8" t="s">
        <v>2792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2793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1423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2794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1423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2795</v>
      </c>
      <c r="B909" s="67">
        <v>32391122802</v>
      </c>
      <c r="C909" s="72" t="s">
        <v>2796</v>
      </c>
      <c r="D909" s="69">
        <v>21653624825</v>
      </c>
      <c r="E909" s="9">
        <v>262</v>
      </c>
      <c r="F909" s="25">
        <v>43160</v>
      </c>
      <c r="G909" s="9" t="s">
        <v>1423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2797</v>
      </c>
      <c r="B910" s="67"/>
      <c r="C910" s="29" t="s">
        <v>2798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2799</v>
      </c>
      <c r="B911" s="67">
        <v>39641812858</v>
      </c>
      <c r="C911" s="72" t="s">
        <v>2800</v>
      </c>
      <c r="D911" s="69">
        <v>23425114859</v>
      </c>
      <c r="E911" s="9">
        <v>262</v>
      </c>
      <c r="F911" s="25">
        <v>43160</v>
      </c>
      <c r="G911" s="70" t="s">
        <v>1423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2801</v>
      </c>
      <c r="B912" s="67">
        <v>7664892481</v>
      </c>
      <c r="C912" s="72" t="s">
        <v>2802</v>
      </c>
      <c r="D912" s="69">
        <v>37120937804</v>
      </c>
      <c r="E912" s="9">
        <v>1570</v>
      </c>
      <c r="F912" s="25">
        <v>43077</v>
      </c>
      <c r="G912" s="70" t="s">
        <v>1423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2803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1423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2804</v>
      </c>
      <c r="B914" s="67">
        <v>35535310883</v>
      </c>
      <c r="C914" s="72" t="s">
        <v>2805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2806</v>
      </c>
      <c r="B915" s="67">
        <v>40993785867</v>
      </c>
      <c r="C915" s="72" t="s">
        <v>2807</v>
      </c>
      <c r="D915" s="69">
        <v>39284894883</v>
      </c>
      <c r="E915" s="9">
        <v>262</v>
      </c>
      <c r="F915" s="25">
        <v>43160</v>
      </c>
      <c r="G915" s="70" t="s">
        <v>1423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2808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1423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2809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1423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2810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1423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2811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1423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2812</v>
      </c>
      <c r="B920" s="67">
        <v>39485589816</v>
      </c>
      <c r="C920" s="72" t="s">
        <v>2813</v>
      </c>
      <c r="D920" s="69">
        <v>6884648589</v>
      </c>
      <c r="E920" s="9">
        <v>85</v>
      </c>
      <c r="F920" s="25">
        <v>43109</v>
      </c>
      <c r="G920" s="70" t="s">
        <v>1423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2814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2815</v>
      </c>
      <c r="B922" s="67">
        <v>39454700804</v>
      </c>
      <c r="C922" s="72" t="s">
        <v>2816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2817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2818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2819</v>
      </c>
      <c r="B925" s="67">
        <v>19681993810</v>
      </c>
      <c r="C925" s="72" t="s">
        <v>2820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2821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1423</v>
      </c>
      <c r="H926" s="9"/>
      <c r="I926" s="8"/>
      <c r="J926" s="8"/>
      <c r="K926" s="8"/>
      <c r="L926" s="9" t="s">
        <v>1542</v>
      </c>
      <c r="M926" s="8"/>
    </row>
    <row r="927" spans="1:13" x14ac:dyDescent="0.25">
      <c r="A927" s="71" t="s">
        <v>2822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2823</v>
      </c>
      <c r="B928" s="67">
        <v>32424255881</v>
      </c>
      <c r="C928" s="72" t="s">
        <v>2824</v>
      </c>
      <c r="D928" s="69">
        <v>4615874596</v>
      </c>
      <c r="E928" s="9">
        <v>229</v>
      </c>
      <c r="F928" s="25">
        <v>43151</v>
      </c>
      <c r="G928" s="70" t="s">
        <v>1423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2825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1423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2826</v>
      </c>
      <c r="B930" s="67">
        <v>77663551591</v>
      </c>
      <c r="C930" s="72" t="s">
        <v>2827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2828</v>
      </c>
      <c r="B931" s="67">
        <v>30768670837</v>
      </c>
      <c r="C931" s="72" t="s">
        <v>2829</v>
      </c>
      <c r="D931" s="69">
        <v>17858599860</v>
      </c>
      <c r="E931" s="9">
        <v>810</v>
      </c>
      <c r="F931" s="25">
        <v>42915</v>
      </c>
      <c r="G931" s="70" t="s">
        <v>1423</v>
      </c>
      <c r="H931" s="9"/>
      <c r="I931" s="8"/>
      <c r="J931" s="8"/>
      <c r="K931" s="8"/>
      <c r="L931" s="9" t="s">
        <v>1542</v>
      </c>
      <c r="M931" s="8"/>
    </row>
    <row r="932" spans="1:13" x14ac:dyDescent="0.25">
      <c r="A932" s="71" t="s">
        <v>2830</v>
      </c>
      <c r="B932" s="67">
        <v>40801562864</v>
      </c>
      <c r="C932" s="72" t="s">
        <v>2831</v>
      </c>
      <c r="D932" s="69">
        <v>40630792879</v>
      </c>
      <c r="E932" s="9">
        <v>117</v>
      </c>
      <c r="F932" s="25">
        <v>43117</v>
      </c>
      <c r="G932" s="70" t="s">
        <v>1429</v>
      </c>
      <c r="H932" s="9"/>
      <c r="I932" s="8"/>
      <c r="J932" s="8"/>
      <c r="K932" s="8"/>
      <c r="L932" s="9" t="s">
        <v>1574</v>
      </c>
      <c r="M932" s="8"/>
    </row>
    <row r="933" spans="1:13" x14ac:dyDescent="0.25">
      <c r="A933" s="71" t="s">
        <v>2832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1423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2833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1423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2834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2835</v>
      </c>
      <c r="B936" s="67">
        <v>33897782847</v>
      </c>
      <c r="C936" s="72" t="s">
        <v>2836</v>
      </c>
      <c r="D936" s="69">
        <v>22207136876</v>
      </c>
      <c r="E936" s="9">
        <v>1267</v>
      </c>
      <c r="F936" s="25">
        <v>42998</v>
      </c>
      <c r="G936" s="70" t="s">
        <v>1423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2837</v>
      </c>
      <c r="B937" s="67">
        <v>31219124885</v>
      </c>
      <c r="C937" s="72" t="s">
        <v>2838</v>
      </c>
      <c r="D937" s="69">
        <v>53808967315</v>
      </c>
      <c r="E937" s="9">
        <v>292</v>
      </c>
      <c r="F937" s="25">
        <v>43168</v>
      </c>
      <c r="G937" s="70" t="s">
        <v>1423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2839</v>
      </c>
      <c r="B938" s="67">
        <v>32332935851</v>
      </c>
      <c r="C938" s="18" t="s">
        <v>2840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2841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2842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1437</v>
      </c>
      <c r="H940" s="47"/>
      <c r="I940" s="49"/>
      <c r="J940" s="49"/>
      <c r="K940" s="49"/>
      <c r="L940" s="9" t="s">
        <v>1574</v>
      </c>
      <c r="M940" s="49"/>
    </row>
    <row r="941" spans="1:13" x14ac:dyDescent="0.25">
      <c r="A941" s="71" t="s">
        <v>2843</v>
      </c>
      <c r="B941" s="67">
        <v>35124692804</v>
      </c>
      <c r="C941" s="72" t="s">
        <v>2844</v>
      </c>
      <c r="D941" s="69">
        <v>17091274814</v>
      </c>
      <c r="E941" s="9">
        <v>262</v>
      </c>
      <c r="F941" s="25">
        <v>43160</v>
      </c>
      <c r="G941" s="70" t="s">
        <v>1423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2845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2846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2847</v>
      </c>
      <c r="B944" s="67">
        <v>35271393895</v>
      </c>
      <c r="C944" s="72" t="s">
        <v>2848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2849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1423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2850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1703</v>
      </c>
      <c r="M946" s="8"/>
    </row>
    <row r="947" spans="1:13" x14ac:dyDescent="0.25">
      <c r="A947" s="71" t="s">
        <v>2851</v>
      </c>
      <c r="B947" s="67">
        <v>899199399</v>
      </c>
      <c r="C947" s="72" t="s">
        <v>2852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2853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1423</v>
      </c>
      <c r="H948" s="9"/>
      <c r="I948" s="8"/>
      <c r="J948" s="8"/>
      <c r="K948" s="8"/>
      <c r="L948" s="9" t="s">
        <v>1542</v>
      </c>
      <c r="M948" s="8"/>
    </row>
    <row r="949" spans="1:13" x14ac:dyDescent="0.25">
      <c r="A949" s="15" t="s">
        <v>2854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2855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1423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2856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1429</v>
      </c>
      <c r="H951" s="9"/>
      <c r="I951" s="8"/>
      <c r="J951" s="8"/>
      <c r="K951" s="8"/>
      <c r="L951" s="9" t="s">
        <v>1574</v>
      </c>
      <c r="M951" s="8"/>
    </row>
    <row r="952" spans="1:13" x14ac:dyDescent="0.25">
      <c r="A952" s="15" t="s">
        <v>2857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1423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2858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1423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2859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1423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2860</v>
      </c>
      <c r="B955" s="67">
        <v>19584308890</v>
      </c>
      <c r="C955" s="72" t="s">
        <v>2861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2862</v>
      </c>
      <c r="B956" s="67">
        <v>3220872441</v>
      </c>
      <c r="C956" s="72" t="s">
        <v>2863</v>
      </c>
      <c r="D956" s="69">
        <v>11805166808</v>
      </c>
      <c r="E956" s="9">
        <v>810</v>
      </c>
      <c r="F956" s="25">
        <v>42915</v>
      </c>
      <c r="G956" s="70" t="s">
        <v>1423</v>
      </c>
      <c r="H956" s="9"/>
      <c r="I956" s="8"/>
      <c r="J956" s="8"/>
      <c r="K956" s="8"/>
      <c r="L956" s="9" t="s">
        <v>1542</v>
      </c>
      <c r="M956" s="8"/>
    </row>
    <row r="957" spans="1:13" x14ac:dyDescent="0.25">
      <c r="A957" s="73" t="s">
        <v>2864</v>
      </c>
      <c r="B957" s="67">
        <v>29773950832</v>
      </c>
      <c r="C957" s="72" t="s">
        <v>2865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2866</v>
      </c>
      <c r="B958" s="78" t="s">
        <v>2867</v>
      </c>
      <c r="C958" s="72" t="s">
        <v>2868</v>
      </c>
      <c r="D958" s="69">
        <v>84102780300</v>
      </c>
      <c r="E958" s="9">
        <v>292</v>
      </c>
      <c r="F958" s="25">
        <v>43168</v>
      </c>
      <c r="G958" s="9" t="s">
        <v>1423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2869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1423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2870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2871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1423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2872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1423</v>
      </c>
      <c r="H962" s="9"/>
      <c r="I962" s="8"/>
      <c r="J962" s="8"/>
      <c r="K962" s="8"/>
      <c r="L962" s="9" t="s">
        <v>1802</v>
      </c>
      <c r="M962" s="8"/>
    </row>
    <row r="963" spans="1:13" x14ac:dyDescent="0.25">
      <c r="A963" s="15" t="s">
        <v>2873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1423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2874</v>
      </c>
      <c r="B964" s="67">
        <v>46248420300</v>
      </c>
      <c r="C964" s="72" t="s">
        <v>2875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2876</v>
      </c>
      <c r="B965" s="67">
        <v>84090294304</v>
      </c>
      <c r="C965" s="72" t="s">
        <v>2877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2878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2879</v>
      </c>
      <c r="B967" s="67">
        <v>918071313</v>
      </c>
      <c r="C967" s="72" t="s">
        <v>2880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2881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1423</v>
      </c>
      <c r="H968" s="9"/>
      <c r="I968" s="8"/>
      <c r="J968" s="8"/>
      <c r="K968" s="8"/>
      <c r="L968" s="9" t="s">
        <v>1574</v>
      </c>
      <c r="M968" s="8"/>
    </row>
    <row r="969" spans="1:13" x14ac:dyDescent="0.25">
      <c r="A969" s="71" t="s">
        <v>2882</v>
      </c>
      <c r="B969" s="67">
        <v>86465651300</v>
      </c>
      <c r="C969" s="72" t="s">
        <v>2883</v>
      </c>
      <c r="D969" s="69">
        <v>7091216792</v>
      </c>
      <c r="E969" s="9">
        <v>1350</v>
      </c>
      <c r="F969" s="25">
        <v>43006</v>
      </c>
      <c r="G969" s="70" t="s">
        <v>1423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2884</v>
      </c>
      <c r="B970" s="67">
        <v>22893362893</v>
      </c>
      <c r="C970" s="72" t="s">
        <v>2885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2886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1423</v>
      </c>
      <c r="H971" s="9"/>
      <c r="I971" s="8"/>
      <c r="J971" s="8"/>
      <c r="K971" s="8"/>
      <c r="L971" s="9" t="s">
        <v>1657</v>
      </c>
      <c r="M971" s="8"/>
    </row>
    <row r="972" spans="1:13" x14ac:dyDescent="0.25">
      <c r="A972" s="29" t="s">
        <v>2887</v>
      </c>
      <c r="B972" s="67">
        <v>9964640854</v>
      </c>
      <c r="C972" s="18" t="s">
        <v>1533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2888</v>
      </c>
      <c r="B973" s="67">
        <v>46593499854</v>
      </c>
      <c r="C973" s="29" t="s">
        <v>2889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2890</v>
      </c>
      <c r="B974" s="67">
        <v>34412339807</v>
      </c>
      <c r="C974" s="72" t="s">
        <v>2891</v>
      </c>
      <c r="D974" s="69">
        <v>30849792860</v>
      </c>
      <c r="E974" s="9">
        <v>1824</v>
      </c>
      <c r="F974" s="25">
        <v>43091</v>
      </c>
      <c r="G974" s="70" t="s">
        <v>1423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2892</v>
      </c>
      <c r="B975" s="67">
        <v>63905825449</v>
      </c>
      <c r="C975" s="72" t="s">
        <v>2893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2894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1423</v>
      </c>
      <c r="H976" s="9"/>
      <c r="I976" s="8"/>
      <c r="J976" s="8"/>
      <c r="K976" s="8"/>
      <c r="L976" s="9" t="s">
        <v>1542</v>
      </c>
      <c r="M976" s="8"/>
    </row>
    <row r="977" spans="1:13" x14ac:dyDescent="0.25">
      <c r="A977" s="71" t="s">
        <v>2895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1423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2896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1423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2897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1423</v>
      </c>
      <c r="H979" s="9"/>
      <c r="I979" s="8"/>
      <c r="J979" s="8"/>
      <c r="K979" s="8"/>
      <c r="L979" s="9" t="s">
        <v>1542</v>
      </c>
      <c r="M979" s="8"/>
    </row>
    <row r="980" spans="1:13" x14ac:dyDescent="0.25">
      <c r="A980" s="18" t="s">
        <v>2898</v>
      </c>
      <c r="B980" s="67">
        <v>18473037812</v>
      </c>
      <c r="C980" s="18" t="s">
        <v>2899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2900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2901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1423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2902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2903</v>
      </c>
      <c r="B984" s="67">
        <v>30458696889</v>
      </c>
      <c r="C984" s="68" t="s">
        <v>2904</v>
      </c>
      <c r="D984" s="69">
        <v>25196748814</v>
      </c>
      <c r="E984" s="9">
        <v>1267</v>
      </c>
      <c r="F984" s="25">
        <v>42998</v>
      </c>
      <c r="G984" s="70" t="s">
        <v>1429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2905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1423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2906</v>
      </c>
      <c r="B986" s="67"/>
      <c r="C986" s="29" t="s">
        <v>2907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2908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2909</v>
      </c>
      <c r="B988" s="67" t="s">
        <v>2910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2911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2912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2913</v>
      </c>
      <c r="B991" s="67"/>
      <c r="C991" s="18" t="s">
        <v>1533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2914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2915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2916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1423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2917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2918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1423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2919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2920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2921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2922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1423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2923</v>
      </c>
      <c r="B1001" s="67">
        <v>39651975334</v>
      </c>
      <c r="C1001" s="72" t="s">
        <v>2924</v>
      </c>
      <c r="D1001" s="69">
        <v>35104799808</v>
      </c>
      <c r="E1001" s="9">
        <v>229</v>
      </c>
      <c r="F1001" s="25">
        <v>43151</v>
      </c>
      <c r="G1001" s="70" t="s">
        <v>1423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2925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1423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2926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1423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2927</v>
      </c>
      <c r="B1004" s="67">
        <v>46226383801</v>
      </c>
      <c r="C1004" s="72" t="s">
        <v>2928</v>
      </c>
      <c r="D1004" s="69">
        <v>46166460821</v>
      </c>
      <c r="E1004" s="9">
        <v>292</v>
      </c>
      <c r="F1004" s="25">
        <v>43168</v>
      </c>
      <c r="G1004" s="70" t="s">
        <v>1423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2929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1423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2930</v>
      </c>
      <c r="B1006" s="67">
        <v>37051448803</v>
      </c>
      <c r="C1006" s="72" t="s">
        <v>2931</v>
      </c>
      <c r="D1006" s="69">
        <v>22442223813</v>
      </c>
      <c r="E1006" s="9">
        <v>1489</v>
      </c>
      <c r="F1006" s="25">
        <v>43038</v>
      </c>
      <c r="G1006" s="70" t="s">
        <v>1423</v>
      </c>
      <c r="H1006" s="9"/>
      <c r="I1006" s="8"/>
      <c r="J1006" s="8"/>
      <c r="K1006" s="8"/>
      <c r="L1006" s="9" t="s">
        <v>1564</v>
      </c>
      <c r="M1006" s="8"/>
    </row>
    <row r="1007" spans="1:13" x14ac:dyDescent="0.25">
      <c r="A1007" s="71" t="s">
        <v>2932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2933</v>
      </c>
      <c r="B1008" s="67">
        <v>50092450865</v>
      </c>
      <c r="C1008" s="72" t="s">
        <v>2934</v>
      </c>
      <c r="D1008" s="69">
        <v>34366320827</v>
      </c>
      <c r="E1008" s="9">
        <v>608</v>
      </c>
      <c r="F1008" s="25">
        <v>43012</v>
      </c>
      <c r="G1008" s="70" t="s">
        <v>1423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2935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1423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2936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1423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2937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1423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2938</v>
      </c>
      <c r="B1012" s="67">
        <v>36501110807</v>
      </c>
      <c r="C1012" s="72" t="s">
        <v>2939</v>
      </c>
      <c r="D1012" s="69">
        <v>36592467860</v>
      </c>
      <c r="E1012" s="9">
        <v>262</v>
      </c>
      <c r="F1012" s="25">
        <v>43160</v>
      </c>
      <c r="G1012" s="70" t="s">
        <v>1423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2940</v>
      </c>
      <c r="B1013" s="67">
        <v>34470374822</v>
      </c>
      <c r="C1013" s="29" t="s">
        <v>2941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2942</v>
      </c>
      <c r="B1014" s="67">
        <v>40814125883</v>
      </c>
      <c r="C1014" s="72" t="s">
        <v>2943</v>
      </c>
      <c r="D1014" s="69">
        <v>27095684898</v>
      </c>
      <c r="E1014" s="9">
        <v>810</v>
      </c>
      <c r="F1014" s="25">
        <v>42915</v>
      </c>
      <c r="G1014" s="70" t="s">
        <v>1423</v>
      </c>
      <c r="H1014" s="9"/>
      <c r="I1014" s="8"/>
      <c r="J1014" s="8"/>
      <c r="K1014" s="8"/>
      <c r="L1014" s="9" t="s">
        <v>1542</v>
      </c>
      <c r="M1014" s="8"/>
    </row>
    <row r="1015" spans="1:13" x14ac:dyDescent="0.25">
      <c r="A1015" s="71" t="s">
        <v>2944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2945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1423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2946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2947</v>
      </c>
      <c r="B1018" s="67"/>
      <c r="C1018" s="18" t="s">
        <v>1533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2948</v>
      </c>
      <c r="B1019" s="67">
        <v>26492754808</v>
      </c>
      <c r="C1019" s="9" t="s">
        <v>1533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2949</v>
      </c>
      <c r="B1020" s="67">
        <v>526417595</v>
      </c>
      <c r="C1020" s="72" t="s">
        <v>2950</v>
      </c>
      <c r="D1020" s="69">
        <v>25810630847</v>
      </c>
      <c r="E1020" s="9">
        <v>262</v>
      </c>
      <c r="F1020" s="25">
        <v>43160</v>
      </c>
      <c r="G1020" s="9" t="s">
        <v>1423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2951</v>
      </c>
      <c r="B1021" s="67">
        <v>26362064852</v>
      </c>
      <c r="C1021" s="77" t="s">
        <v>2952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1703</v>
      </c>
      <c r="M1021" s="8"/>
    </row>
    <row r="1022" spans="1:13" x14ac:dyDescent="0.25">
      <c r="A1022" s="71" t="s">
        <v>2953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1423</v>
      </c>
      <c r="H1022" s="9"/>
      <c r="I1022" s="8"/>
      <c r="J1022" s="8"/>
      <c r="K1022" s="8"/>
      <c r="L1022" s="9" t="s">
        <v>1564</v>
      </c>
      <c r="M1022" s="8"/>
    </row>
    <row r="1023" spans="1:13" x14ac:dyDescent="0.25">
      <c r="A1023" s="71" t="s">
        <v>2954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1423</v>
      </c>
      <c r="H1023" s="9"/>
      <c r="I1023" s="8"/>
      <c r="J1023" s="8"/>
      <c r="K1023" s="8"/>
      <c r="L1023" s="9" t="s">
        <v>1542</v>
      </c>
      <c r="M1023" s="8"/>
    </row>
    <row r="1024" spans="1:13" x14ac:dyDescent="0.25">
      <c r="A1024" s="71" t="s">
        <v>2955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2956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2957</v>
      </c>
      <c r="B1026" s="67">
        <v>41791708846</v>
      </c>
      <c r="C1026" s="72" t="s">
        <v>2958</v>
      </c>
      <c r="D1026" s="69">
        <v>41003253806</v>
      </c>
      <c r="E1026" s="9">
        <v>262</v>
      </c>
      <c r="F1026" s="25">
        <v>43160</v>
      </c>
      <c r="G1026" s="70" t="s">
        <v>1423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2959</v>
      </c>
      <c r="B1027" s="67"/>
      <c r="C1027" s="29" t="s">
        <v>2960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2961</v>
      </c>
      <c r="B1028" s="67">
        <v>34575373800</v>
      </c>
      <c r="C1028" s="72" t="s">
        <v>2962</v>
      </c>
      <c r="D1028" s="69">
        <v>22427117846</v>
      </c>
      <c r="E1028" s="9">
        <v>1350</v>
      </c>
      <c r="F1028" s="25">
        <v>43006</v>
      </c>
      <c r="G1028" s="70" t="s">
        <v>1423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2963</v>
      </c>
      <c r="B1029" s="67">
        <v>79215262334</v>
      </c>
      <c r="C1029" s="72" t="s">
        <v>2964</v>
      </c>
      <c r="D1029" s="69">
        <v>76370372315</v>
      </c>
      <c r="E1029" s="9">
        <v>1451</v>
      </c>
      <c r="F1029" s="25">
        <v>43027</v>
      </c>
      <c r="G1029" s="70" t="s">
        <v>1429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2965</v>
      </c>
      <c r="B1030" s="67">
        <v>15208922843</v>
      </c>
      <c r="C1030" s="72" t="s">
        <v>2966</v>
      </c>
      <c r="D1030" s="69">
        <v>34068960810</v>
      </c>
      <c r="E1030" s="9">
        <v>229</v>
      </c>
      <c r="F1030" s="25">
        <v>43151</v>
      </c>
      <c r="G1030" s="70" t="s">
        <v>1437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2967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2968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2969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1423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2970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1703</v>
      </c>
      <c r="M1034" s="8"/>
    </row>
    <row r="1035" spans="1:13" x14ac:dyDescent="0.25">
      <c r="A1035" s="71" t="s">
        <v>2971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2972</v>
      </c>
      <c r="B1036" s="67">
        <v>99570467304</v>
      </c>
      <c r="C1036" s="72" t="s">
        <v>2973</v>
      </c>
      <c r="D1036" s="69">
        <v>7702980877</v>
      </c>
      <c r="E1036" s="9">
        <v>229</v>
      </c>
      <c r="F1036" s="25">
        <v>43151</v>
      </c>
      <c r="G1036" s="70" t="s">
        <v>1423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2974</v>
      </c>
      <c r="B1037" s="67">
        <v>18710956549</v>
      </c>
      <c r="C1037" s="72" t="s">
        <v>2975</v>
      </c>
      <c r="D1037" s="69">
        <v>85859141572</v>
      </c>
      <c r="E1037" s="9">
        <v>1417</v>
      </c>
      <c r="F1037" s="25">
        <v>43017</v>
      </c>
      <c r="G1037" s="70" t="s">
        <v>1423</v>
      </c>
      <c r="H1037" s="76">
        <v>43213</v>
      </c>
      <c r="I1037" s="8"/>
      <c r="J1037" s="8"/>
      <c r="K1037" s="8"/>
      <c r="L1037" s="9" t="s">
        <v>1657</v>
      </c>
      <c r="M1037" s="8"/>
    </row>
    <row r="1038" spans="1:13" x14ac:dyDescent="0.25">
      <c r="A1038" s="71" t="s">
        <v>2976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2977</v>
      </c>
      <c r="B1039" s="67">
        <v>42748662890</v>
      </c>
      <c r="C1039" s="18" t="s">
        <v>2978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2979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1423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2980</v>
      </c>
      <c r="B1041" s="67">
        <v>23367537829</v>
      </c>
      <c r="C1041" s="72" t="s">
        <v>2981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2982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1423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2983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2984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1423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2985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1423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2986</v>
      </c>
      <c r="B1046" s="67">
        <v>74603671415</v>
      </c>
      <c r="C1046" s="72" t="s">
        <v>2987</v>
      </c>
      <c r="D1046" s="69">
        <v>28040569885</v>
      </c>
      <c r="E1046" s="9">
        <v>1267</v>
      </c>
      <c r="F1046" s="25">
        <v>42998</v>
      </c>
      <c r="G1046" s="70" t="s">
        <v>1429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2988</v>
      </c>
      <c r="B1047" s="67">
        <v>41590060865</v>
      </c>
      <c r="C1047" s="72" t="s">
        <v>2989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2990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1423</v>
      </c>
      <c r="H1048" s="9"/>
      <c r="I1048" s="8"/>
      <c r="J1048" s="8"/>
      <c r="K1048" s="8"/>
      <c r="L1048" s="9" t="s">
        <v>1542</v>
      </c>
      <c r="M1048" s="8"/>
    </row>
    <row r="1049" spans="1:13" x14ac:dyDescent="0.25">
      <c r="A1049" s="13" t="s">
        <v>2991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1423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2992</v>
      </c>
      <c r="B1050" s="67">
        <v>35741867898</v>
      </c>
      <c r="C1050" s="72" t="s">
        <v>2993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2994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2995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2996</v>
      </c>
      <c r="B1053" s="67">
        <v>27928359820</v>
      </c>
      <c r="C1053" s="72" t="s">
        <v>2997</v>
      </c>
      <c r="D1053" s="69">
        <v>61803766468</v>
      </c>
      <c r="E1053" s="9">
        <v>810</v>
      </c>
      <c r="F1053" s="25">
        <v>42915</v>
      </c>
      <c r="G1053" s="70" t="s">
        <v>1423</v>
      </c>
      <c r="H1053" s="9"/>
      <c r="I1053" s="8"/>
      <c r="J1053" s="8"/>
      <c r="K1053" s="8"/>
      <c r="L1053" s="9" t="s">
        <v>1542</v>
      </c>
      <c r="M1053" s="8"/>
    </row>
    <row r="1054" spans="1:13" x14ac:dyDescent="0.25">
      <c r="A1054" s="71" t="s">
        <v>2998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1423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2999</v>
      </c>
      <c r="B1055" s="67">
        <v>59431920506</v>
      </c>
      <c r="C1055" s="18" t="s">
        <v>1533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3000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1423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3001</v>
      </c>
      <c r="B1057" s="67" t="s">
        <v>3002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3003</v>
      </c>
      <c r="B1058" s="67">
        <v>34366747880</v>
      </c>
      <c r="C1058" s="77" t="s">
        <v>3004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1703</v>
      </c>
      <c r="M1058" s="8"/>
    </row>
    <row r="1059" spans="1:13" x14ac:dyDescent="0.25">
      <c r="A1059" s="71" t="s">
        <v>3005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1423</v>
      </c>
      <c r="H1059" s="9"/>
      <c r="I1059" s="8"/>
      <c r="J1059" s="8"/>
      <c r="K1059" s="8"/>
      <c r="L1059" s="9" t="s">
        <v>1564</v>
      </c>
      <c r="M1059" s="8"/>
    </row>
    <row r="1060" spans="1:13" x14ac:dyDescent="0.25">
      <c r="A1060" s="14" t="s">
        <v>3006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1423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3007</v>
      </c>
      <c r="B1061" s="67">
        <v>19580560811</v>
      </c>
      <c r="C1061" s="68" t="s">
        <v>3008</v>
      </c>
      <c r="D1061" s="69">
        <v>28925414848</v>
      </c>
      <c r="E1061" s="9">
        <v>1359</v>
      </c>
      <c r="F1061" s="25">
        <v>43006</v>
      </c>
      <c r="G1061" s="70" t="s">
        <v>1429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3009</v>
      </c>
      <c r="B1062" s="67">
        <v>34230472838</v>
      </c>
      <c r="C1062" s="9" t="s">
        <v>1533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3010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3011</v>
      </c>
      <c r="B1064" s="67">
        <v>42398811883</v>
      </c>
      <c r="C1064" s="72" t="s">
        <v>3012</v>
      </c>
      <c r="D1064" s="69">
        <v>33876650836</v>
      </c>
      <c r="E1064" s="9">
        <v>117</v>
      </c>
      <c r="F1064" s="25">
        <v>43117</v>
      </c>
      <c r="G1064" s="70" t="s">
        <v>1429</v>
      </c>
      <c r="H1064" s="9"/>
      <c r="I1064" s="8"/>
      <c r="J1064" s="8"/>
      <c r="K1064" s="8"/>
      <c r="L1064" s="9" t="s">
        <v>1574</v>
      </c>
      <c r="M1064" s="8"/>
    </row>
    <row r="1065" spans="1:13" x14ac:dyDescent="0.25">
      <c r="A1065" s="13" t="s">
        <v>3013</v>
      </c>
      <c r="B1065" s="67">
        <v>3876363829</v>
      </c>
      <c r="C1065" s="72" t="s">
        <v>3014</v>
      </c>
      <c r="D1065" s="69">
        <v>9491364847</v>
      </c>
      <c r="E1065" s="9">
        <v>1359</v>
      </c>
      <c r="F1065" s="25">
        <v>43006</v>
      </c>
      <c r="G1065" s="70" t="s">
        <v>1423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3015</v>
      </c>
      <c r="B1066" s="67">
        <v>27340044884</v>
      </c>
      <c r="C1066" s="72" t="s">
        <v>3016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3017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3018</v>
      </c>
      <c r="B1068" s="67">
        <v>38422303892</v>
      </c>
      <c r="C1068" s="72" t="s">
        <v>3019</v>
      </c>
      <c r="D1068" s="69">
        <v>33753889857</v>
      </c>
      <c r="E1068" s="9">
        <v>608</v>
      </c>
      <c r="F1068" s="25">
        <v>43012</v>
      </c>
      <c r="G1068" s="70" t="s">
        <v>1423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3020</v>
      </c>
      <c r="B1069" s="67">
        <v>36171676837</v>
      </c>
      <c r="C1069" s="68" t="s">
        <v>3021</v>
      </c>
      <c r="D1069" s="69">
        <v>1470162580</v>
      </c>
      <c r="E1069" s="9">
        <v>1128</v>
      </c>
      <c r="F1069" s="25">
        <v>42972</v>
      </c>
      <c r="G1069" s="70" t="s">
        <v>1423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3022</v>
      </c>
      <c r="B1070" s="67">
        <v>42047014859</v>
      </c>
      <c r="C1070" s="72" t="s">
        <v>3023</v>
      </c>
      <c r="D1070" s="69">
        <v>9300065424</v>
      </c>
      <c r="E1070" s="9">
        <v>1417</v>
      </c>
      <c r="F1070" s="25">
        <v>43017</v>
      </c>
      <c r="G1070" s="70" t="s">
        <v>1429</v>
      </c>
      <c r="H1070" s="9"/>
      <c r="I1070" s="8"/>
      <c r="J1070" s="8"/>
      <c r="K1070" s="8"/>
      <c r="L1070" s="9" t="s">
        <v>1657</v>
      </c>
      <c r="M1070" s="8"/>
    </row>
    <row r="1071" spans="1:13" x14ac:dyDescent="0.25">
      <c r="A1071" s="29" t="s">
        <v>3024</v>
      </c>
      <c r="B1071" s="67">
        <v>34822545830</v>
      </c>
      <c r="C1071" s="18" t="s">
        <v>1533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3025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3026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1423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3027</v>
      </c>
      <c r="B1074" s="67">
        <v>1737249308</v>
      </c>
      <c r="C1074" s="72" t="s">
        <v>3028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3029</v>
      </c>
      <c r="B1075" s="67">
        <v>3844142576</v>
      </c>
      <c r="C1075" s="72" t="s">
        <v>3030</v>
      </c>
      <c r="D1075" s="69">
        <v>35502503801</v>
      </c>
      <c r="E1075" s="9">
        <v>810</v>
      </c>
      <c r="F1075" s="25">
        <v>42915</v>
      </c>
      <c r="G1075" s="70" t="s">
        <v>1423</v>
      </c>
      <c r="H1075" s="9"/>
      <c r="I1075" s="8"/>
      <c r="J1075" s="8"/>
      <c r="K1075" s="8"/>
      <c r="L1075" s="9" t="s">
        <v>1542</v>
      </c>
      <c r="M1075" s="8"/>
    </row>
    <row r="1076" spans="1:13" x14ac:dyDescent="0.25">
      <c r="A1076" s="71" t="s">
        <v>3031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3032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1423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3033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3034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1423</v>
      </c>
      <c r="H1079" s="9"/>
      <c r="I1079" s="8"/>
      <c r="J1079" s="8"/>
      <c r="K1079" s="8"/>
      <c r="L1079" s="9" t="s">
        <v>1574</v>
      </c>
      <c r="M1079" s="8"/>
    </row>
    <row r="1080" spans="1:13" x14ac:dyDescent="0.25">
      <c r="A1080" s="18" t="s">
        <v>3035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3036</v>
      </c>
      <c r="B1081" s="67">
        <v>44410556843</v>
      </c>
      <c r="C1081" s="72" t="s">
        <v>3037</v>
      </c>
      <c r="D1081" s="69">
        <v>39436457898</v>
      </c>
      <c r="E1081" s="9">
        <v>262</v>
      </c>
      <c r="F1081" s="25">
        <v>43160</v>
      </c>
      <c r="G1081" s="70" t="s">
        <v>1423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3038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1423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3039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3040</v>
      </c>
      <c r="B1084" s="67">
        <v>7838810884</v>
      </c>
      <c r="C1084" s="72" t="s">
        <v>3041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3042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1423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3043</v>
      </c>
      <c r="B1086" s="67">
        <v>18239878857</v>
      </c>
      <c r="C1086" s="72" t="s">
        <v>3044</v>
      </c>
      <c r="D1086" s="69">
        <v>18871709870</v>
      </c>
      <c r="E1086" s="9">
        <v>85</v>
      </c>
      <c r="F1086" s="25">
        <v>43109</v>
      </c>
      <c r="G1086" s="70" t="s">
        <v>1423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3045</v>
      </c>
      <c r="B1087" s="67">
        <v>33213821802</v>
      </c>
      <c r="C1087" s="18" t="s">
        <v>1533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3046</v>
      </c>
      <c r="B1088" s="67">
        <v>39075719833</v>
      </c>
      <c r="C1088" s="72" t="s">
        <v>3047</v>
      </c>
      <c r="D1088" s="69">
        <v>29754975809</v>
      </c>
      <c r="E1088" s="9">
        <v>810</v>
      </c>
      <c r="F1088" s="25">
        <v>42915</v>
      </c>
      <c r="G1088" s="70" t="s">
        <v>1429</v>
      </c>
      <c r="H1088" s="9"/>
      <c r="I1088" s="8"/>
      <c r="J1088" s="8"/>
      <c r="K1088" s="8"/>
      <c r="L1088" s="9" t="s">
        <v>1542</v>
      </c>
      <c r="M1088" s="8"/>
    </row>
    <row r="1089" spans="1:13" x14ac:dyDescent="0.25">
      <c r="A1089" s="71" t="s">
        <v>3048</v>
      </c>
      <c r="B1089" s="67">
        <v>22599824842</v>
      </c>
      <c r="C1089" s="73" t="s">
        <v>3049</v>
      </c>
      <c r="D1089" s="69" t="s">
        <v>3050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3051</v>
      </c>
      <c r="B1090" s="67">
        <v>41719739889</v>
      </c>
      <c r="C1090" s="72" t="s">
        <v>3052</v>
      </c>
      <c r="D1090" s="69">
        <v>35883252800</v>
      </c>
      <c r="E1090" s="9">
        <v>1752</v>
      </c>
      <c r="F1090" s="25">
        <v>43051</v>
      </c>
      <c r="G1090" s="70" t="s">
        <v>1423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3053</v>
      </c>
      <c r="B1091" s="67">
        <v>31524778800</v>
      </c>
      <c r="C1091" s="72" t="s">
        <v>3054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3055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3056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3057</v>
      </c>
      <c r="B1094" s="67">
        <v>6614830376</v>
      </c>
      <c r="C1094" s="72" t="s">
        <v>3058</v>
      </c>
      <c r="D1094" s="69">
        <v>6372277352</v>
      </c>
      <c r="E1094" s="9">
        <v>229</v>
      </c>
      <c r="F1094" s="25">
        <v>43151</v>
      </c>
      <c r="G1094" s="70" t="s">
        <v>1423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3059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3060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1423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3061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3062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1423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3063</v>
      </c>
      <c r="B1099" s="67">
        <v>23047254818</v>
      </c>
      <c r="C1099" s="18" t="s">
        <v>1533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3064</v>
      </c>
      <c r="B1100" s="69">
        <v>15755371504</v>
      </c>
      <c r="C1100" s="71" t="s">
        <v>3065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3066</v>
      </c>
      <c r="B1101" s="67"/>
      <c r="C1101" s="29" t="s">
        <v>1533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3067</v>
      </c>
      <c r="B1102" s="67">
        <v>37975016845</v>
      </c>
      <c r="C1102" s="72" t="s">
        <v>3068</v>
      </c>
      <c r="D1102" s="69">
        <v>31274964865</v>
      </c>
      <c r="E1102" s="9">
        <v>810</v>
      </c>
      <c r="F1102" s="25">
        <v>42915</v>
      </c>
      <c r="G1102" s="70" t="s">
        <v>1423</v>
      </c>
      <c r="H1102" s="9"/>
      <c r="I1102" s="8"/>
      <c r="J1102" s="8"/>
      <c r="K1102" s="8"/>
      <c r="L1102" s="9" t="s">
        <v>1542</v>
      </c>
      <c r="M1102" s="8"/>
    </row>
    <row r="1103" spans="1:13" x14ac:dyDescent="0.25">
      <c r="A1103" s="71" t="s">
        <v>3069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3070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3071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1423</v>
      </c>
      <c r="H1105" s="9"/>
      <c r="I1105" s="8"/>
      <c r="J1105" s="8"/>
      <c r="K1105" s="8"/>
      <c r="L1105" s="9" t="s">
        <v>1574</v>
      </c>
      <c r="M1105" s="8"/>
    </row>
    <row r="1106" spans="1:13" x14ac:dyDescent="0.25">
      <c r="A1106" s="14" t="s">
        <v>3072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1423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3073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3074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1423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3075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3076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3077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1423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3078</v>
      </c>
      <c r="B1112" s="67"/>
      <c r="C1112" s="29" t="s">
        <v>3079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3080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3081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3082</v>
      </c>
      <c r="B1115" s="67">
        <v>31228148899</v>
      </c>
      <c r="C1115" s="18" t="s">
        <v>3083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3084</v>
      </c>
      <c r="B1116" s="67">
        <v>28077309810</v>
      </c>
      <c r="C1116" s="72" t="s">
        <v>3085</v>
      </c>
      <c r="D1116" s="69">
        <v>62568370530</v>
      </c>
      <c r="E1116" s="9">
        <v>229</v>
      </c>
      <c r="F1116" s="25">
        <v>43151</v>
      </c>
      <c r="G1116" s="70" t="s">
        <v>1423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3086</v>
      </c>
      <c r="B1117" s="67">
        <v>43681754845</v>
      </c>
      <c r="C1117" s="72" t="s">
        <v>3087</v>
      </c>
      <c r="D1117" s="69">
        <v>51120226805</v>
      </c>
      <c r="E1117" s="9">
        <v>1555</v>
      </c>
      <c r="F1117" s="25">
        <v>43049</v>
      </c>
      <c r="G1117" s="70" t="s">
        <v>1423</v>
      </c>
      <c r="H1117" s="9"/>
      <c r="I1117" s="8"/>
      <c r="J1117" s="8"/>
      <c r="K1117" s="8"/>
      <c r="L1117" s="9" t="s">
        <v>1802</v>
      </c>
      <c r="M1117" s="8"/>
    </row>
    <row r="1118" spans="1:13" x14ac:dyDescent="0.25">
      <c r="A1118" s="29" t="s">
        <v>3088</v>
      </c>
      <c r="B1118" s="67"/>
      <c r="C1118" s="29" t="s">
        <v>3089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3090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3091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1423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3092</v>
      </c>
      <c r="B1121" s="67">
        <v>44708151870</v>
      </c>
      <c r="C1121" s="88" t="s">
        <v>3093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3094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3095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3096</v>
      </c>
      <c r="B1124" s="67">
        <v>8368671817</v>
      </c>
      <c r="C1124" s="72" t="s">
        <v>3097</v>
      </c>
      <c r="D1124" s="69">
        <v>19184424877</v>
      </c>
      <c r="E1124" s="9">
        <v>292</v>
      </c>
      <c r="F1124" s="25">
        <v>43168</v>
      </c>
      <c r="G1124" s="70" t="s">
        <v>1423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3098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1423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3099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1423</v>
      </c>
      <c r="H1126" s="9"/>
      <c r="I1126" s="8"/>
      <c r="J1126" s="8"/>
      <c r="K1126" s="8"/>
      <c r="L1126" s="9" t="s">
        <v>1542</v>
      </c>
      <c r="M1126" s="8"/>
    </row>
    <row r="1127" spans="1:13" x14ac:dyDescent="0.25">
      <c r="A1127" s="18" t="s">
        <v>3100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3101</v>
      </c>
      <c r="B1128" s="67">
        <v>45127604825</v>
      </c>
      <c r="C1128" s="72" t="s">
        <v>3102</v>
      </c>
      <c r="D1128" s="69" t="s">
        <v>3103</v>
      </c>
      <c r="E1128" s="9">
        <v>229</v>
      </c>
      <c r="F1128" s="25">
        <v>43151</v>
      </c>
      <c r="G1128" s="70" t="s">
        <v>1437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3104</v>
      </c>
      <c r="B1129" s="67">
        <v>42987674856</v>
      </c>
      <c r="C1129" s="72" t="s">
        <v>3105</v>
      </c>
      <c r="D1129" s="69">
        <v>38745840890</v>
      </c>
      <c r="E1129" s="9">
        <v>85</v>
      </c>
      <c r="F1129" s="25">
        <v>43109</v>
      </c>
      <c r="G1129" s="70" t="s">
        <v>1423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3106</v>
      </c>
      <c r="B1130" s="67">
        <v>36406558855</v>
      </c>
      <c r="C1130" s="72" t="s">
        <v>3107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3108</v>
      </c>
      <c r="B1131" s="67">
        <v>22758320843</v>
      </c>
      <c r="C1131" s="72" t="s">
        <v>3109</v>
      </c>
      <c r="D1131" s="69">
        <v>14229403810</v>
      </c>
      <c r="E1131" s="9">
        <v>1752</v>
      </c>
      <c r="F1131" s="25">
        <v>43051</v>
      </c>
      <c r="G1131" s="70" t="s">
        <v>1423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3110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3111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1423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3112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1423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3113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1423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3114</v>
      </c>
      <c r="B1136" s="67">
        <v>32518683810</v>
      </c>
      <c r="C1136" s="72" t="s">
        <v>3115</v>
      </c>
      <c r="D1136" s="69">
        <v>32570919829</v>
      </c>
      <c r="E1136" s="9">
        <v>262</v>
      </c>
      <c r="F1136" s="25">
        <v>43160</v>
      </c>
      <c r="G1136" s="70" t="s">
        <v>1429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3116</v>
      </c>
      <c r="B1137" s="67">
        <v>35723911805</v>
      </c>
      <c r="C1137" s="18" t="s">
        <v>1533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3117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1423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3118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1423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3119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1423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3120</v>
      </c>
      <c r="B1141" s="67">
        <v>9527670667</v>
      </c>
      <c r="C1141" s="18" t="s">
        <v>3121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3122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1423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3123</v>
      </c>
      <c r="B1143" s="80">
        <v>15404916842</v>
      </c>
      <c r="C1143" s="81" t="s">
        <v>3124</v>
      </c>
      <c r="D1143" s="82">
        <v>26437120487</v>
      </c>
      <c r="E1143" s="47">
        <v>1752</v>
      </c>
      <c r="F1143" s="48">
        <v>43051</v>
      </c>
      <c r="G1143" s="83" t="s">
        <v>1437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3125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1423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3126</v>
      </c>
      <c r="B1145" s="67">
        <v>16618981816</v>
      </c>
      <c r="C1145" s="77" t="s">
        <v>3127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3128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1423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3129</v>
      </c>
      <c r="B1147" s="67">
        <v>14396561857</v>
      </c>
      <c r="C1147" s="72" t="s">
        <v>3130</v>
      </c>
      <c r="D1147" s="69">
        <v>26877955854</v>
      </c>
      <c r="E1147" s="9">
        <v>1350</v>
      </c>
      <c r="F1147" s="25">
        <v>43006</v>
      </c>
      <c r="G1147" s="70" t="s">
        <v>1423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3131</v>
      </c>
      <c r="B1148" s="67">
        <v>89014774591</v>
      </c>
      <c r="C1148" s="72" t="s">
        <v>3132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3133</v>
      </c>
      <c r="B1149" s="67">
        <v>36708561883</v>
      </c>
      <c r="C1149" s="72" t="s">
        <v>3134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3135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1423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3136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1423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3137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1423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3138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3139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3140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1423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3141</v>
      </c>
      <c r="B1156" s="67">
        <v>35706404852</v>
      </c>
      <c r="C1156" s="72"/>
      <c r="D1156" s="69"/>
      <c r="E1156" s="9">
        <v>117</v>
      </c>
      <c r="F1156" s="25"/>
      <c r="G1156" s="70" t="s">
        <v>1437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3142</v>
      </c>
      <c r="B1157" s="67">
        <v>2044062348</v>
      </c>
      <c r="C1157" s="72" t="s">
        <v>3143</v>
      </c>
      <c r="D1157" s="69">
        <v>61505005353</v>
      </c>
      <c r="E1157" s="9">
        <v>1214</v>
      </c>
      <c r="F1157" s="25">
        <v>42989</v>
      </c>
      <c r="G1157" s="70" t="s">
        <v>1423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3144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1423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3145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3146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1423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3147</v>
      </c>
      <c r="B1161" s="67">
        <v>11126789801</v>
      </c>
      <c r="C1161" s="72" t="s">
        <v>3148</v>
      </c>
      <c r="D1161" s="69">
        <v>13442330823</v>
      </c>
      <c r="E1161" s="9">
        <v>85</v>
      </c>
      <c r="F1161" s="25">
        <v>43109</v>
      </c>
      <c r="G1161" s="70" t="s">
        <v>1423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3149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1423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3150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1423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3151</v>
      </c>
      <c r="B1164" s="67">
        <v>42134258861</v>
      </c>
      <c r="C1164" s="72" t="s">
        <v>3152</v>
      </c>
      <c r="D1164" s="69">
        <v>36485490817</v>
      </c>
      <c r="E1164" s="9">
        <v>262</v>
      </c>
      <c r="F1164" s="25">
        <v>43160</v>
      </c>
      <c r="G1164" s="9" t="s">
        <v>1423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3153</v>
      </c>
      <c r="B1165" s="67">
        <v>1772681318</v>
      </c>
      <c r="C1165" s="72" t="s">
        <v>3154</v>
      </c>
      <c r="D1165" s="69">
        <v>88109810306</v>
      </c>
      <c r="E1165" s="9">
        <v>85</v>
      </c>
      <c r="F1165" s="25">
        <v>43109</v>
      </c>
      <c r="G1165" s="70" t="s">
        <v>1423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3155</v>
      </c>
      <c r="B1166" s="67">
        <v>88244881291</v>
      </c>
      <c r="C1166" s="72" t="s">
        <v>3156</v>
      </c>
      <c r="D1166" s="69">
        <v>71885609272</v>
      </c>
      <c r="E1166" s="9">
        <v>292</v>
      </c>
      <c r="F1166" s="25">
        <v>43168</v>
      </c>
      <c r="G1166" s="9" t="s">
        <v>1423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3157</v>
      </c>
      <c r="B1167" s="67">
        <v>33535539838</v>
      </c>
      <c r="C1167" s="72" t="s">
        <v>3158</v>
      </c>
      <c r="D1167" s="69">
        <v>19438586830</v>
      </c>
      <c r="E1167" s="9">
        <v>85</v>
      </c>
      <c r="F1167" s="25">
        <v>43109</v>
      </c>
      <c r="G1167" s="70" t="s">
        <v>1423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3159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1423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3160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1423</v>
      </c>
      <c r="H1169" s="9"/>
      <c r="I1169" s="8"/>
      <c r="J1169" s="8"/>
      <c r="K1169" s="8"/>
      <c r="L1169" s="9" t="s">
        <v>1574</v>
      </c>
      <c r="M1169" s="8"/>
    </row>
    <row r="1170" spans="1:13" x14ac:dyDescent="0.25">
      <c r="A1170" s="71" t="s">
        <v>3161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3162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1423</v>
      </c>
      <c r="H1171" s="9"/>
      <c r="I1171" s="8"/>
      <c r="J1171" s="8"/>
      <c r="K1171" s="8"/>
      <c r="L1171" s="9" t="s">
        <v>1542</v>
      </c>
      <c r="M1171" s="8"/>
    </row>
    <row r="1172" spans="1:13" x14ac:dyDescent="0.25">
      <c r="A1172" s="71" t="s">
        <v>3163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1423</v>
      </c>
      <c r="H1172" s="9"/>
      <c r="I1172" s="8"/>
      <c r="J1172" s="8"/>
      <c r="K1172" s="8"/>
      <c r="L1172" s="9" t="s">
        <v>1802</v>
      </c>
      <c r="M1172" s="8"/>
    </row>
    <row r="1173" spans="1:13" x14ac:dyDescent="0.25">
      <c r="A1173" s="72" t="s">
        <v>3164</v>
      </c>
      <c r="B1173" s="67">
        <v>42160981850</v>
      </c>
      <c r="C1173" s="72" t="s">
        <v>3165</v>
      </c>
      <c r="D1173" s="69">
        <v>40077808894</v>
      </c>
      <c r="E1173" s="9">
        <v>608</v>
      </c>
      <c r="F1173" s="25">
        <v>43012</v>
      </c>
      <c r="G1173" s="70" t="s">
        <v>1423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3166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1429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3167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3168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1703</v>
      </c>
      <c r="M1176" s="8"/>
    </row>
    <row r="1177" spans="1:13" x14ac:dyDescent="0.25">
      <c r="A1177" s="29" t="s">
        <v>3169</v>
      </c>
      <c r="B1177" s="67"/>
      <c r="C1177" s="29" t="s">
        <v>3170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3171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3172</v>
      </c>
      <c r="B1179" s="67">
        <v>11754585469</v>
      </c>
      <c r="C1179" s="77" t="s">
        <v>3173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1703</v>
      </c>
      <c r="M1179" s="8"/>
    </row>
    <row r="1180" spans="1:13" x14ac:dyDescent="0.25">
      <c r="A1180" s="29" t="s">
        <v>3174</v>
      </c>
      <c r="B1180" s="67">
        <v>7621874503</v>
      </c>
      <c r="C1180" s="29" t="s">
        <v>3175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3176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1423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3177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1423</v>
      </c>
      <c r="H1182" s="9"/>
      <c r="I1182" s="8"/>
      <c r="J1182" s="8"/>
      <c r="K1182" s="8"/>
      <c r="L1182" s="9" t="s">
        <v>1802</v>
      </c>
      <c r="M1182" s="8"/>
    </row>
    <row r="1183" spans="1:13" x14ac:dyDescent="0.25">
      <c r="A1183" s="29" t="s">
        <v>3178</v>
      </c>
      <c r="B1183" s="67">
        <v>29913700841</v>
      </c>
      <c r="C1183" s="18" t="s">
        <v>1533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3179</v>
      </c>
      <c r="B1184" s="67">
        <v>28907743843</v>
      </c>
      <c r="C1184" s="29" t="s">
        <v>3180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3181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1423</v>
      </c>
      <c r="H1185" s="9"/>
      <c r="I1185" s="8"/>
      <c r="J1185" s="8"/>
      <c r="K1185" s="8"/>
      <c r="L1185" s="9" t="s">
        <v>1542</v>
      </c>
      <c r="M1185" s="8"/>
    </row>
    <row r="1186" spans="1:13" x14ac:dyDescent="0.25">
      <c r="A1186" s="29" t="s">
        <v>3182</v>
      </c>
      <c r="B1186" s="67"/>
      <c r="C1186" s="18" t="s">
        <v>1533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3183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1423</v>
      </c>
      <c r="H1187" s="9"/>
      <c r="I1187" s="8"/>
      <c r="J1187" s="8"/>
      <c r="K1187" s="8"/>
      <c r="L1187" s="9" t="s">
        <v>1542</v>
      </c>
      <c r="M1187" s="8"/>
    </row>
    <row r="1188" spans="1:13" x14ac:dyDescent="0.25">
      <c r="A1188" s="73" t="s">
        <v>3184</v>
      </c>
      <c r="B1188" s="67">
        <v>1198397500</v>
      </c>
      <c r="C1188" s="72" t="s">
        <v>3185</v>
      </c>
      <c r="D1188" s="69">
        <v>87142503572</v>
      </c>
      <c r="E1188" s="9">
        <v>810</v>
      </c>
      <c r="F1188" s="25">
        <v>42915</v>
      </c>
      <c r="G1188" s="70" t="s">
        <v>1423</v>
      </c>
      <c r="H1188" s="9"/>
      <c r="I1188" s="8"/>
      <c r="J1188" s="8"/>
      <c r="K1188" s="8"/>
      <c r="L1188" s="9" t="s">
        <v>1542</v>
      </c>
      <c r="M1188" s="8"/>
    </row>
    <row r="1189" spans="1:13" x14ac:dyDescent="0.25">
      <c r="A1189" s="29" t="s">
        <v>3186</v>
      </c>
      <c r="B1189" s="67">
        <v>17487364852</v>
      </c>
      <c r="C1189" s="29" t="s">
        <v>3187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3188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1423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3189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3190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3191</v>
      </c>
      <c r="B1193" s="67">
        <v>32993187805</v>
      </c>
      <c r="C1193" s="72" t="s">
        <v>3192</v>
      </c>
      <c r="D1193" s="69">
        <v>2605272460</v>
      </c>
      <c r="E1193" s="9">
        <v>1439</v>
      </c>
      <c r="F1193" s="25">
        <v>43025</v>
      </c>
      <c r="G1193" s="70" t="s">
        <v>1423</v>
      </c>
      <c r="H1193" s="9"/>
      <c r="I1193" s="8"/>
      <c r="J1193" s="8"/>
      <c r="K1193" s="8"/>
      <c r="L1193" s="9" t="s">
        <v>1906</v>
      </c>
      <c r="M1193" s="8"/>
    </row>
    <row r="1194" spans="1:13" x14ac:dyDescent="0.25">
      <c r="A1194" s="71" t="s">
        <v>3193</v>
      </c>
      <c r="B1194" s="67">
        <v>33182368885</v>
      </c>
      <c r="C1194" s="77" t="s">
        <v>3194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3195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1423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3196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1423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3197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1423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3198</v>
      </c>
      <c r="B1198" s="67">
        <v>32557609846</v>
      </c>
      <c r="C1198" s="72" t="s">
        <v>3199</v>
      </c>
      <c r="D1198" s="69">
        <v>19150806904</v>
      </c>
      <c r="E1198" s="9">
        <v>1241</v>
      </c>
      <c r="F1198" s="25">
        <v>42992</v>
      </c>
      <c r="G1198" s="70" t="s">
        <v>1423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3200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1423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3201</v>
      </c>
      <c r="B1200" s="67">
        <v>38236980871</v>
      </c>
      <c r="C1200" s="72" t="s">
        <v>3202</v>
      </c>
      <c r="D1200" s="69">
        <v>5177834360</v>
      </c>
      <c r="E1200" s="9">
        <v>262</v>
      </c>
      <c r="F1200" s="25">
        <v>43160</v>
      </c>
      <c r="G1200" s="70" t="s">
        <v>1423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3203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1423</v>
      </c>
      <c r="H1201" s="9"/>
      <c r="I1201" s="8"/>
      <c r="J1201" s="8"/>
      <c r="K1201" s="8"/>
      <c r="L1201" s="9" t="s">
        <v>1542</v>
      </c>
      <c r="M1201" s="8"/>
    </row>
    <row r="1202" spans="1:13" x14ac:dyDescent="0.25">
      <c r="A1202" s="72" t="s">
        <v>3204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3205</v>
      </c>
      <c r="B1203" s="67">
        <v>177446102</v>
      </c>
      <c r="C1203" s="72" t="s">
        <v>3206</v>
      </c>
      <c r="D1203" s="69">
        <v>31301235806</v>
      </c>
      <c r="E1203" s="9">
        <v>229</v>
      </c>
      <c r="F1203" s="25">
        <v>43151</v>
      </c>
      <c r="G1203" s="70" t="s">
        <v>1423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3207</v>
      </c>
      <c r="B1204" s="67"/>
      <c r="C1204" s="29" t="s">
        <v>1533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3208</v>
      </c>
      <c r="B1205" s="67">
        <v>22394984805</v>
      </c>
      <c r="C1205" s="72" t="s">
        <v>3209</v>
      </c>
      <c r="D1205" s="69">
        <v>29161087858</v>
      </c>
      <c r="E1205" s="9">
        <v>1106</v>
      </c>
      <c r="F1205" s="25">
        <v>42965</v>
      </c>
      <c r="G1205" s="70" t="s">
        <v>1423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3210</v>
      </c>
      <c r="B1206" s="67">
        <v>22495577806</v>
      </c>
      <c r="C1206" s="72" t="s">
        <v>3211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3212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3213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3214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1423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3215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3216</v>
      </c>
      <c r="B1211" s="67">
        <v>37304527897</v>
      </c>
      <c r="C1211" s="72" t="s">
        <v>3217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3218</v>
      </c>
      <c r="B1212" s="67">
        <v>11328067807</v>
      </c>
      <c r="C1212" s="72" t="s">
        <v>3219</v>
      </c>
      <c r="D1212" s="69">
        <v>60769793800</v>
      </c>
      <c r="E1212" s="9">
        <v>262</v>
      </c>
      <c r="F1212" s="25">
        <v>43160</v>
      </c>
      <c r="G1212" s="70" t="s">
        <v>1423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3220</v>
      </c>
      <c r="B1213" s="67">
        <v>4007781575</v>
      </c>
      <c r="C1213" s="72" t="s">
        <v>3221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3222</v>
      </c>
      <c r="B1214" s="67">
        <v>38448111842</v>
      </c>
      <c r="C1214" s="72" t="s">
        <v>3223</v>
      </c>
      <c r="D1214" s="69">
        <v>38350911824</v>
      </c>
      <c r="E1214" s="9"/>
      <c r="F1214" s="25"/>
      <c r="G1214" s="70" t="s">
        <v>1423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3224</v>
      </c>
      <c r="B1215" s="67"/>
      <c r="C1215" s="18" t="s">
        <v>1533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3225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1423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3226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1423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3227</v>
      </c>
      <c r="B1218" s="67">
        <v>29040829802</v>
      </c>
      <c r="C1218" s="68" t="s">
        <v>3228</v>
      </c>
      <c r="D1218" s="69">
        <v>17804755864</v>
      </c>
      <c r="E1218" s="9">
        <v>1128</v>
      </c>
      <c r="F1218" s="25">
        <v>42972</v>
      </c>
      <c r="G1218" s="70" t="s">
        <v>1423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3229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3230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1423</v>
      </c>
      <c r="H1220" s="9"/>
      <c r="I1220" s="8"/>
      <c r="J1220" s="8"/>
      <c r="K1220" s="8"/>
      <c r="L1220" s="9" t="s">
        <v>1657</v>
      </c>
      <c r="M1220" s="8"/>
    </row>
    <row r="1221" spans="1:13" x14ac:dyDescent="0.25">
      <c r="A1221" s="14" t="s">
        <v>3231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3232</v>
      </c>
      <c r="B1222" s="67">
        <v>22614376841</v>
      </c>
      <c r="C1222" s="18" t="s">
        <v>1533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3233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3234</v>
      </c>
      <c r="B1224" s="67">
        <v>95023003515</v>
      </c>
      <c r="C1224" s="72" t="s">
        <v>3235</v>
      </c>
      <c r="D1224" s="69">
        <v>2283584507</v>
      </c>
      <c r="E1224" s="9">
        <v>117</v>
      </c>
      <c r="F1224" s="25">
        <v>43117</v>
      </c>
      <c r="G1224" s="70" t="s">
        <v>1423</v>
      </c>
      <c r="H1224" s="9"/>
      <c r="I1224" s="8"/>
      <c r="J1224" s="8"/>
      <c r="K1224" s="8"/>
      <c r="L1224" s="9" t="s">
        <v>1574</v>
      </c>
      <c r="M1224" s="8"/>
    </row>
    <row r="1225" spans="1:13" x14ac:dyDescent="0.25">
      <c r="A1225" s="15" t="s">
        <v>3236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1423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3237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3238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1423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3239</v>
      </c>
      <c r="B1228" s="67">
        <v>40584610807</v>
      </c>
      <c r="C1228" s="72" t="s">
        <v>3240</v>
      </c>
      <c r="D1228" s="69">
        <v>29182543801</v>
      </c>
      <c r="E1228" s="9">
        <v>810</v>
      </c>
      <c r="F1228" s="25">
        <v>42915</v>
      </c>
      <c r="G1228" s="70" t="s">
        <v>1423</v>
      </c>
      <c r="H1228" s="9"/>
      <c r="I1228" s="8"/>
      <c r="J1228" s="8"/>
      <c r="K1228" s="8"/>
      <c r="L1228" s="9" t="s">
        <v>1542</v>
      </c>
      <c r="M1228" s="8"/>
    </row>
    <row r="1229" spans="1:13" x14ac:dyDescent="0.25">
      <c r="A1229" s="71" t="s">
        <v>3241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1423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3242</v>
      </c>
      <c r="B1230" s="67">
        <v>2330650590</v>
      </c>
      <c r="C1230" s="18" t="s">
        <v>1796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3243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1703</v>
      </c>
      <c r="M1231" s="8"/>
    </row>
    <row r="1232" spans="1:13" x14ac:dyDescent="0.25">
      <c r="A1232" s="71" t="s">
        <v>3244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1423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3245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3246</v>
      </c>
      <c r="B1234" s="67">
        <v>35116318826</v>
      </c>
      <c r="C1234" s="72" t="s">
        <v>3247</v>
      </c>
      <c r="D1234" s="69">
        <v>22432837860</v>
      </c>
      <c r="E1234" s="9">
        <v>1824</v>
      </c>
      <c r="F1234" s="25">
        <v>43091</v>
      </c>
      <c r="G1234" s="70" t="s">
        <v>1423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3248</v>
      </c>
      <c r="B1235" s="67">
        <v>40048912808</v>
      </c>
      <c r="C1235" s="72" t="s">
        <v>3249</v>
      </c>
      <c r="D1235" s="69">
        <v>43519054841</v>
      </c>
      <c r="E1235" s="9">
        <v>262</v>
      </c>
      <c r="F1235" s="25">
        <v>43160</v>
      </c>
      <c r="G1235" s="70" t="s">
        <v>1423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3250</v>
      </c>
      <c r="B1236" s="67">
        <v>26016197831</v>
      </c>
      <c r="C1236" s="15" t="s">
        <v>3251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3252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1423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3253</v>
      </c>
      <c r="B1238" s="67">
        <v>40121535878</v>
      </c>
      <c r="C1238" s="72" t="s">
        <v>3254</v>
      </c>
      <c r="D1238" s="69">
        <v>33343601802</v>
      </c>
      <c r="E1238" s="9">
        <v>292</v>
      </c>
      <c r="F1238" s="25">
        <v>43168</v>
      </c>
      <c r="G1238" s="70" t="s">
        <v>1423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3255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1423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3256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1423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3257</v>
      </c>
      <c r="B1241" s="67">
        <v>31029975892</v>
      </c>
      <c r="C1241" s="72" t="s">
        <v>3258</v>
      </c>
      <c r="D1241" s="69">
        <v>36873004472</v>
      </c>
      <c r="E1241" s="9">
        <v>1106</v>
      </c>
      <c r="F1241" s="25">
        <v>42965</v>
      </c>
      <c r="G1241" s="9" t="s">
        <v>1423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3259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1423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3260</v>
      </c>
      <c r="B1243" s="67">
        <v>36051592814</v>
      </c>
      <c r="C1243" s="72" t="s">
        <v>3261</v>
      </c>
      <c r="D1243" s="69">
        <v>13109522847</v>
      </c>
      <c r="E1243" s="9">
        <v>810</v>
      </c>
      <c r="F1243" s="25">
        <v>42915</v>
      </c>
      <c r="G1243" s="70" t="s">
        <v>1423</v>
      </c>
      <c r="H1243" s="9"/>
      <c r="I1243" s="8"/>
      <c r="J1243" s="8"/>
      <c r="K1243" s="8"/>
      <c r="L1243" s="9" t="s">
        <v>1542</v>
      </c>
      <c r="M1243" s="8"/>
    </row>
    <row r="1244" spans="1:13" x14ac:dyDescent="0.25">
      <c r="A1244" s="71" t="s">
        <v>3262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3263</v>
      </c>
      <c r="B1245" s="67">
        <v>28142782820</v>
      </c>
      <c r="C1245" s="18" t="s">
        <v>3264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3265</v>
      </c>
      <c r="B1246" s="67">
        <v>30088939880</v>
      </c>
      <c r="C1246" s="72" t="s">
        <v>3266</v>
      </c>
      <c r="D1246" s="69">
        <v>2051861579</v>
      </c>
      <c r="E1246" s="9">
        <v>292</v>
      </c>
      <c r="F1246" s="25">
        <v>43168</v>
      </c>
      <c r="G1246" s="9" t="s">
        <v>1423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3267</v>
      </c>
      <c r="B1247" s="67">
        <v>11525085476</v>
      </c>
      <c r="C1247" s="72" t="s">
        <v>3268</v>
      </c>
      <c r="D1247" s="69">
        <v>9293576473</v>
      </c>
      <c r="E1247" s="9">
        <v>262</v>
      </c>
      <c r="F1247" s="25">
        <v>43160</v>
      </c>
      <c r="G1247" s="70" t="s">
        <v>1423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3269</v>
      </c>
      <c r="B1248" s="67"/>
      <c r="C1248" s="29" t="s">
        <v>3270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3271</v>
      </c>
      <c r="B1249" s="67">
        <v>31265129843</v>
      </c>
      <c r="C1249" s="68" t="s">
        <v>3272</v>
      </c>
      <c r="D1249" s="69">
        <v>2078435546</v>
      </c>
      <c r="E1249" s="9">
        <v>1241</v>
      </c>
      <c r="F1249" s="25">
        <v>42992</v>
      </c>
      <c r="G1249" s="70" t="s">
        <v>1423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3273</v>
      </c>
      <c r="B1250" s="67">
        <v>22524200817</v>
      </c>
      <c r="C1250" s="72" t="s">
        <v>3274</v>
      </c>
      <c r="D1250" s="69">
        <v>22961531861</v>
      </c>
      <c r="E1250" s="9">
        <v>229</v>
      </c>
      <c r="F1250" s="25">
        <v>43151</v>
      </c>
      <c r="G1250" s="70" t="s">
        <v>1429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3275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1423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3276</v>
      </c>
      <c r="B1252" s="67">
        <v>29736807860</v>
      </c>
      <c r="C1252" s="72" t="s">
        <v>3277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3278</v>
      </c>
      <c r="B1253" s="67">
        <v>4890860398</v>
      </c>
      <c r="C1253" s="72" t="s">
        <v>3279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3280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1423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3281</v>
      </c>
      <c r="B1255" s="67">
        <v>35336343889</v>
      </c>
      <c r="C1255" s="18" t="s">
        <v>3282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3283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1703</v>
      </c>
      <c r="M1256" s="8"/>
    </row>
    <row r="1257" spans="1:13" x14ac:dyDescent="0.25">
      <c r="A1257" s="14" t="s">
        <v>3284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3285</v>
      </c>
      <c r="B1258" s="67">
        <v>39107511809</v>
      </c>
      <c r="C1258" s="72" t="s">
        <v>3286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3287</v>
      </c>
      <c r="B1259" s="67">
        <v>6652314584</v>
      </c>
      <c r="C1259" s="72" t="s">
        <v>3288</v>
      </c>
      <c r="D1259" s="69">
        <v>4945754500</v>
      </c>
      <c r="E1259" s="9">
        <v>85</v>
      </c>
      <c r="F1259" s="25">
        <v>43109</v>
      </c>
      <c r="G1259" s="70" t="s">
        <v>1429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3289</v>
      </c>
      <c r="B1260" s="67">
        <v>43135974847</v>
      </c>
      <c r="C1260" s="73" t="s">
        <v>3290</v>
      </c>
      <c r="D1260" s="69" t="s">
        <v>3291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1703</v>
      </c>
      <c r="M1260" s="8"/>
    </row>
    <row r="1261" spans="1:13" x14ac:dyDescent="0.25">
      <c r="A1261" s="13" t="s">
        <v>3292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1423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3293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1703</v>
      </c>
      <c r="M1262" s="8"/>
    </row>
    <row r="1263" spans="1:13" x14ac:dyDescent="0.25">
      <c r="A1263" s="14" t="s">
        <v>3294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1423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3295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3296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1429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3297</v>
      </c>
      <c r="B1266" s="67">
        <v>1748350943</v>
      </c>
      <c r="C1266" s="72" t="s">
        <v>3298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3299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3300</v>
      </c>
      <c r="B1268" s="67">
        <v>23502610851</v>
      </c>
      <c r="C1268" s="73" t="s">
        <v>3301</v>
      </c>
      <c r="D1268" s="69" t="s">
        <v>3302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3303</v>
      </c>
      <c r="B1269" s="67">
        <v>48857598896</v>
      </c>
      <c r="C1269" s="72" t="s">
        <v>3304</v>
      </c>
      <c r="D1269" s="69">
        <v>36223394896</v>
      </c>
      <c r="E1269" s="9">
        <v>262</v>
      </c>
      <c r="F1269" s="25">
        <v>43160</v>
      </c>
      <c r="G1269" s="46" t="s">
        <v>1429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3305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3306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3307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1423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3308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1703</v>
      </c>
      <c r="M1273" s="8"/>
    </row>
    <row r="1274" spans="1:13" x14ac:dyDescent="0.25">
      <c r="A1274" s="71" t="s">
        <v>3309</v>
      </c>
      <c r="B1274" s="78" t="s">
        <v>3310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3311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1423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3312</v>
      </c>
      <c r="B1276" s="67">
        <v>16354483876</v>
      </c>
      <c r="C1276" s="68" t="s">
        <v>3313</v>
      </c>
      <c r="D1276" s="69">
        <v>2853992845</v>
      </c>
      <c r="E1276" s="9">
        <v>1267</v>
      </c>
      <c r="F1276" s="25">
        <v>42998</v>
      </c>
      <c r="G1276" s="70" t="s">
        <v>1423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3314</v>
      </c>
      <c r="B1277" s="67">
        <v>40753885816</v>
      </c>
      <c r="C1277" s="72" t="s">
        <v>3315</v>
      </c>
      <c r="D1277" s="69">
        <v>35877507850</v>
      </c>
      <c r="E1277" s="9">
        <v>85</v>
      </c>
      <c r="F1277" s="25">
        <v>43109</v>
      </c>
      <c r="G1277" s="70" t="s">
        <v>1423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3316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1423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3317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1423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3318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3319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1423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3320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3321</v>
      </c>
      <c r="B1283" s="67">
        <v>44632196800</v>
      </c>
      <c r="C1283" s="72" t="s">
        <v>3322</v>
      </c>
      <c r="D1283" s="69">
        <v>38901506831</v>
      </c>
      <c r="E1283" s="9">
        <v>1359</v>
      </c>
      <c r="F1283" s="25">
        <v>43006</v>
      </c>
      <c r="G1283" s="9" t="s">
        <v>1423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3323</v>
      </c>
      <c r="B1284" s="67"/>
      <c r="C1284" s="18" t="s">
        <v>3324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3325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1423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3326</v>
      </c>
      <c r="B1286" s="67">
        <v>7354753505</v>
      </c>
      <c r="C1286" s="72" t="s">
        <v>3327</v>
      </c>
      <c r="D1286" s="69">
        <v>26646541876</v>
      </c>
      <c r="E1286" s="9">
        <v>117</v>
      </c>
      <c r="F1286" s="25">
        <v>43117</v>
      </c>
      <c r="G1286" s="70" t="s">
        <v>1423</v>
      </c>
      <c r="H1286" s="9"/>
      <c r="I1286" s="8"/>
      <c r="J1286" s="8"/>
      <c r="K1286" s="8"/>
      <c r="L1286" s="9" t="s">
        <v>1574</v>
      </c>
      <c r="M1286" s="8"/>
    </row>
    <row r="1287" spans="1:13" x14ac:dyDescent="0.25">
      <c r="A1287" s="71" t="s">
        <v>3328</v>
      </c>
      <c r="B1287" s="67">
        <v>45378515890</v>
      </c>
      <c r="C1287" s="72" t="s">
        <v>3329</v>
      </c>
      <c r="D1287" s="69">
        <v>35635754520</v>
      </c>
      <c r="E1287" s="9">
        <v>1752</v>
      </c>
      <c r="F1287" s="25">
        <v>43051</v>
      </c>
      <c r="G1287" s="70" t="s">
        <v>1423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3330</v>
      </c>
      <c r="B1288" s="67">
        <v>41274505844</v>
      </c>
      <c r="C1288" s="18" t="s">
        <v>3331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3332</v>
      </c>
      <c r="B1289" s="67">
        <v>46583836831</v>
      </c>
      <c r="C1289" s="72" t="s">
        <v>3333</v>
      </c>
      <c r="D1289" s="69">
        <v>39199167867</v>
      </c>
      <c r="E1289" s="9">
        <v>292</v>
      </c>
      <c r="F1289" s="25">
        <v>43168</v>
      </c>
      <c r="G1289" s="9" t="s">
        <v>1423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3334</v>
      </c>
      <c r="B1290" s="67"/>
      <c r="C1290" s="29" t="s">
        <v>3335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3336</v>
      </c>
      <c r="B1291" s="67">
        <v>37483362847</v>
      </c>
      <c r="C1291" s="29" t="s">
        <v>3337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3338</v>
      </c>
      <c r="B1292" s="67">
        <v>43663899837</v>
      </c>
      <c r="C1292" s="18" t="s">
        <v>3339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3340</v>
      </c>
      <c r="B1293" s="67">
        <v>39203446850</v>
      </c>
      <c r="C1293" s="72" t="s">
        <v>3341</v>
      </c>
      <c r="D1293" s="69">
        <v>39255518836</v>
      </c>
      <c r="E1293" s="9">
        <v>292</v>
      </c>
      <c r="F1293" s="25">
        <v>43168</v>
      </c>
      <c r="G1293" s="70" t="s">
        <v>1423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3342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3343</v>
      </c>
      <c r="B1295" s="67">
        <v>45722318850</v>
      </c>
      <c r="C1295" s="72" t="s">
        <v>3344</v>
      </c>
      <c r="D1295" s="69">
        <v>61122102313</v>
      </c>
      <c r="E1295" s="9">
        <v>229</v>
      </c>
      <c r="F1295" s="25">
        <v>43151</v>
      </c>
      <c r="G1295" s="70" t="s">
        <v>1423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3345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1423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3346</v>
      </c>
      <c r="B1297" s="67">
        <v>47697684861</v>
      </c>
      <c r="C1297" s="72" t="s">
        <v>3347</v>
      </c>
      <c r="D1297" s="69">
        <v>42642601838</v>
      </c>
      <c r="E1297" s="9">
        <v>229</v>
      </c>
      <c r="F1297" s="25">
        <v>43151</v>
      </c>
      <c r="G1297" s="70" t="s">
        <v>1423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3348</v>
      </c>
      <c r="B1298" s="67">
        <v>97503479515</v>
      </c>
      <c r="C1298" s="15" t="s">
        <v>3349</v>
      </c>
      <c r="D1298" s="69">
        <v>28269015830</v>
      </c>
      <c r="E1298" s="9">
        <v>262</v>
      </c>
      <c r="F1298" s="25">
        <v>43160</v>
      </c>
      <c r="G1298" s="70" t="s">
        <v>1423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3350</v>
      </c>
      <c r="B1299" s="67">
        <v>84327510491</v>
      </c>
      <c r="C1299" s="72" t="s">
        <v>3351</v>
      </c>
      <c r="D1299" s="69">
        <v>17305875856</v>
      </c>
      <c r="E1299" s="9">
        <v>292</v>
      </c>
      <c r="F1299" s="25">
        <v>43168</v>
      </c>
      <c r="G1299" s="70" t="s">
        <v>1423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3352</v>
      </c>
      <c r="B1300" s="67">
        <v>24870791854</v>
      </c>
      <c r="C1300" s="68" t="s">
        <v>3353</v>
      </c>
      <c r="D1300" s="69">
        <v>4398744835</v>
      </c>
      <c r="E1300" s="9">
        <v>1128</v>
      </c>
      <c r="F1300" s="25">
        <v>42972</v>
      </c>
      <c r="G1300" s="70" t="s">
        <v>1423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3354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1423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3355</v>
      </c>
      <c r="B1302" s="67"/>
      <c r="C1302" s="18" t="s">
        <v>1533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3356</v>
      </c>
      <c r="B1303" s="67">
        <v>25533246851</v>
      </c>
      <c r="C1303" s="72" t="s">
        <v>3357</v>
      </c>
      <c r="D1303" s="69">
        <v>2336832836</v>
      </c>
      <c r="E1303" s="9">
        <v>810</v>
      </c>
      <c r="F1303" s="25">
        <v>42915</v>
      </c>
      <c r="G1303" s="70" t="s">
        <v>1423</v>
      </c>
      <c r="H1303" s="9"/>
      <c r="I1303" s="8"/>
      <c r="J1303" s="8"/>
      <c r="K1303" s="8"/>
      <c r="L1303" s="9" t="s">
        <v>1542</v>
      </c>
      <c r="M1303" s="8"/>
    </row>
    <row r="1304" spans="1:13" x14ac:dyDescent="0.25">
      <c r="A1304" s="71" t="s">
        <v>3358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1423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3359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3360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3361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3362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3363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3364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3365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1423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3366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1423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3367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3368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3369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1423</v>
      </c>
      <c r="H1315" s="9"/>
      <c r="I1315" s="8"/>
      <c r="J1315" s="8"/>
      <c r="K1315" s="8"/>
      <c r="L1315" s="9" t="s">
        <v>1657</v>
      </c>
      <c r="M1315" s="8"/>
    </row>
    <row r="1316" spans="1:13" x14ac:dyDescent="0.25">
      <c r="A1316" s="71" t="s">
        <v>3370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1423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3371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3372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1423</v>
      </c>
      <c r="H1318" s="9"/>
      <c r="I1318" s="8"/>
      <c r="J1318" s="8"/>
      <c r="K1318" s="8"/>
      <c r="L1318" s="9" t="s">
        <v>1906</v>
      </c>
      <c r="M1318" s="8"/>
    </row>
    <row r="1319" spans="1:13" x14ac:dyDescent="0.25">
      <c r="A1319" s="15" t="s">
        <v>3373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3374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3375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1423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3376</v>
      </c>
      <c r="B1322" s="67">
        <v>10519320921</v>
      </c>
      <c r="C1322" s="77" t="s">
        <v>3377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3378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1423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3379</v>
      </c>
      <c r="B1324" s="67"/>
      <c r="C1324" s="18" t="s">
        <v>1533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3380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3381</v>
      </c>
      <c r="B1326" s="67"/>
      <c r="C1326" s="29" t="s">
        <v>1533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3382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1423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3383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3384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1423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3385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3386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1423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3387</v>
      </c>
      <c r="B1332" s="67">
        <v>27211072830</v>
      </c>
      <c r="C1332" s="72" t="s">
        <v>3388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3389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3390</v>
      </c>
      <c r="B1334" s="67">
        <v>35197770880</v>
      </c>
      <c r="C1334" s="72" t="s">
        <v>3391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3392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3393</v>
      </c>
      <c r="B1336" s="67">
        <v>35236970857</v>
      </c>
      <c r="C1336" s="68" t="s">
        <v>3394</v>
      </c>
      <c r="D1336" s="69">
        <v>41901199894</v>
      </c>
      <c r="E1336" s="9">
        <v>1417</v>
      </c>
      <c r="F1336" s="25">
        <v>43017</v>
      </c>
      <c r="G1336" s="70" t="s">
        <v>1423</v>
      </c>
      <c r="H1336" s="76">
        <v>43213</v>
      </c>
      <c r="I1336" s="8"/>
      <c r="J1336" s="8"/>
      <c r="K1336" s="8"/>
      <c r="L1336" s="9" t="s">
        <v>1657</v>
      </c>
      <c r="M1336" s="8"/>
    </row>
    <row r="1337" spans="1:13" x14ac:dyDescent="0.25">
      <c r="A1337" s="71" t="s">
        <v>3395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1423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3396</v>
      </c>
      <c r="B1338" s="67"/>
      <c r="C1338" s="29" t="s">
        <v>1533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3397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1423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3398</v>
      </c>
      <c r="B1340" s="67">
        <v>5263835850</v>
      </c>
      <c r="C1340" s="72" t="s">
        <v>3399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3400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1423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3401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1423</v>
      </c>
      <c r="H1342" s="76">
        <v>43213</v>
      </c>
      <c r="I1342" s="8"/>
      <c r="J1342" s="8"/>
      <c r="K1342" s="8"/>
      <c r="L1342" s="9" t="s">
        <v>1574</v>
      </c>
      <c r="M1342" s="8"/>
    </row>
    <row r="1343" spans="1:13" x14ac:dyDescent="0.25">
      <c r="A1343" s="29" t="s">
        <v>3402</v>
      </c>
      <c r="B1343" s="67">
        <v>31148209808</v>
      </c>
      <c r="C1343" s="18" t="s">
        <v>1533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3403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3404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1423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3405</v>
      </c>
      <c r="B1346" s="67">
        <v>85794398507</v>
      </c>
      <c r="C1346" s="72" t="s">
        <v>3406</v>
      </c>
      <c r="D1346" s="69">
        <v>59689188534</v>
      </c>
      <c r="E1346" s="9">
        <v>292</v>
      </c>
      <c r="F1346" s="25">
        <v>43168</v>
      </c>
      <c r="G1346" s="70" t="s">
        <v>1423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3407</v>
      </c>
      <c r="B1347" s="67">
        <v>2770765442</v>
      </c>
      <c r="C1347" s="72" t="s">
        <v>3408</v>
      </c>
      <c r="D1347" s="69">
        <v>24730161866</v>
      </c>
      <c r="E1347" s="9">
        <v>229</v>
      </c>
      <c r="F1347" s="25">
        <v>43151</v>
      </c>
      <c r="G1347" s="70" t="s">
        <v>1423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3409</v>
      </c>
      <c r="B1348" s="67">
        <v>1295044838</v>
      </c>
      <c r="C1348" s="72" t="s">
        <v>3410</v>
      </c>
      <c r="D1348" s="69">
        <v>29976206860</v>
      </c>
      <c r="E1348" s="9">
        <v>485</v>
      </c>
      <c r="F1348" s="25">
        <v>43196</v>
      </c>
      <c r="G1348" s="70" t="s">
        <v>1429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3411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1423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3412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3413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3414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1423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3415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1423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3416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3417</v>
      </c>
      <c r="B1355" s="67">
        <v>75678772520</v>
      </c>
      <c r="C1355" s="72" t="s">
        <v>3418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3419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3420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3421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1423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3422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1423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3423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1423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3424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1423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3425</v>
      </c>
      <c r="B1362" s="67"/>
      <c r="C1362" s="18" t="s">
        <v>1533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3426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3427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3428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1423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3429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1423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3430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3431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1423</v>
      </c>
      <c r="H1368" s="9"/>
      <c r="I1368" s="8"/>
      <c r="J1368" s="8"/>
      <c r="K1368" s="8"/>
      <c r="L1368" s="9" t="s">
        <v>1574</v>
      </c>
      <c r="M1368" s="8"/>
    </row>
    <row r="1369" spans="1:13" x14ac:dyDescent="0.25">
      <c r="A1369" s="29" t="s">
        <v>3432</v>
      </c>
      <c r="B1369" s="67"/>
      <c r="C1369" s="29" t="s">
        <v>1533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3433</v>
      </c>
      <c r="B1370" s="67">
        <v>87915170520</v>
      </c>
      <c r="C1370" s="72" t="s">
        <v>3434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3435</v>
      </c>
      <c r="B1371" s="67">
        <v>30693970855</v>
      </c>
      <c r="C1371" s="72" t="s">
        <v>3436</v>
      </c>
      <c r="D1371" s="69">
        <v>6402681610</v>
      </c>
      <c r="E1371" s="9">
        <v>608</v>
      </c>
      <c r="F1371" s="25">
        <v>43012</v>
      </c>
      <c r="G1371" s="70" t="s">
        <v>1429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3437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3438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3439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3440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1423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3441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1423</v>
      </c>
      <c r="H1376" s="9"/>
      <c r="I1376" s="8"/>
      <c r="J1376" s="8"/>
      <c r="K1376" s="8"/>
      <c r="L1376" s="9" t="s">
        <v>1542</v>
      </c>
      <c r="M1376" s="8"/>
    </row>
    <row r="1377" spans="1:13" x14ac:dyDescent="0.25">
      <c r="A1377" s="71" t="s">
        <v>3442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1423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3443</v>
      </c>
      <c r="B1378" s="78" t="s">
        <v>3444</v>
      </c>
      <c r="C1378" s="72"/>
      <c r="D1378" s="69"/>
      <c r="E1378" s="9">
        <v>292</v>
      </c>
      <c r="F1378" s="25">
        <v>43168</v>
      </c>
      <c r="G1378" s="9" t="s">
        <v>1423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3445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3446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1423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3447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1423</v>
      </c>
      <c r="H1381" s="9"/>
      <c r="I1381" s="8"/>
      <c r="J1381" s="8"/>
      <c r="K1381" s="8"/>
      <c r="L1381" s="9" t="s">
        <v>1802</v>
      </c>
      <c r="M1381" s="8"/>
    </row>
    <row r="1382" spans="1:13" x14ac:dyDescent="0.25">
      <c r="A1382" s="71" t="s">
        <v>3448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3449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3450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1423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3451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1423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3452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1423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3453</v>
      </c>
      <c r="B1387" s="67">
        <v>5753509894</v>
      </c>
      <c r="C1387" s="9" t="s">
        <v>1533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3454</v>
      </c>
      <c r="B1388" s="67"/>
      <c r="C1388" s="18" t="s">
        <v>3455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3456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3457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1423</v>
      </c>
      <c r="H1390" s="9"/>
      <c r="I1390" s="8"/>
      <c r="J1390" s="8"/>
      <c r="K1390" s="8"/>
      <c r="L1390" s="9" t="s">
        <v>1542</v>
      </c>
      <c r="M1390" s="8"/>
    </row>
    <row r="1391" spans="1:13" x14ac:dyDescent="0.25">
      <c r="A1391" s="71" t="s">
        <v>3458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1423</v>
      </c>
      <c r="H1391" s="9"/>
      <c r="I1391" s="8"/>
      <c r="J1391" s="8"/>
      <c r="K1391" s="8"/>
      <c r="L1391" s="9" t="s">
        <v>1542</v>
      </c>
      <c r="M1391" s="8"/>
    </row>
    <row r="1392" spans="1:13" x14ac:dyDescent="0.25">
      <c r="A1392" s="13" t="s">
        <v>3459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1423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3460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1429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3461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3462</v>
      </c>
      <c r="B1395" s="67">
        <v>61260606449</v>
      </c>
      <c r="C1395" s="72" t="s">
        <v>3463</v>
      </c>
      <c r="D1395" s="69">
        <v>73505854468</v>
      </c>
      <c r="E1395" s="9">
        <v>608</v>
      </c>
      <c r="F1395" s="25">
        <v>43012</v>
      </c>
      <c r="G1395" s="70" t="s">
        <v>1423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3464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1423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3465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3466</v>
      </c>
      <c r="B1398" s="67">
        <v>68516274853</v>
      </c>
      <c r="C1398" s="18" t="s">
        <v>1533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3467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1423</v>
      </c>
      <c r="H1399" s="9"/>
      <c r="I1399" s="8"/>
      <c r="J1399" s="8"/>
      <c r="K1399" s="8"/>
      <c r="L1399" s="9" t="s">
        <v>1564</v>
      </c>
      <c r="M1399" s="8"/>
    </row>
    <row r="1400" spans="1:13" x14ac:dyDescent="0.25">
      <c r="A1400" s="15" t="s">
        <v>3468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1423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3469</v>
      </c>
      <c r="B1401" s="67">
        <v>85576492820</v>
      </c>
      <c r="C1401" s="72" t="s">
        <v>3470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3471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3472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1423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3473</v>
      </c>
      <c r="B1404" s="67">
        <v>27903916882</v>
      </c>
      <c r="C1404" s="32" t="s">
        <v>3474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3475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1423</v>
      </c>
      <c r="H1405" s="9"/>
      <c r="I1405" s="8"/>
      <c r="J1405" s="8"/>
      <c r="K1405" s="8"/>
      <c r="L1405" s="9" t="s">
        <v>1564</v>
      </c>
      <c r="M1405" s="8"/>
    </row>
    <row r="1406" spans="1:13" x14ac:dyDescent="0.25">
      <c r="A1406" s="71" t="s">
        <v>3476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1429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3477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1423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3478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1423</v>
      </c>
      <c r="H1408" s="9"/>
      <c r="I1408" s="8"/>
      <c r="J1408" s="8"/>
      <c r="K1408" s="8"/>
      <c r="L1408" s="9" t="s">
        <v>1542</v>
      </c>
      <c r="M1408" s="8"/>
    </row>
    <row r="1409" spans="1:13" x14ac:dyDescent="0.25">
      <c r="A1409" s="15" t="s">
        <v>3479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1423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3480</v>
      </c>
      <c r="B1410" s="67">
        <v>754731863</v>
      </c>
      <c r="C1410" s="72" t="s">
        <v>3481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3482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1423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3483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1423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3484</v>
      </c>
      <c r="B1413" s="67" t="s">
        <v>3485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3486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1423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3487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1423</v>
      </c>
      <c r="H1415" s="9"/>
      <c r="I1415" s="8"/>
      <c r="J1415" s="8"/>
      <c r="K1415" s="8"/>
      <c r="L1415" s="9" t="s">
        <v>1542</v>
      </c>
      <c r="M1415" s="8"/>
    </row>
    <row r="1416" spans="1:13" x14ac:dyDescent="0.25">
      <c r="A1416" s="71" t="s">
        <v>3488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1423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3489</v>
      </c>
      <c r="B1417" s="67">
        <v>32045988880</v>
      </c>
      <c r="C1417" s="72" t="s">
        <v>3490</v>
      </c>
      <c r="D1417" s="69">
        <v>28522432880</v>
      </c>
      <c r="E1417" s="9">
        <v>85</v>
      </c>
      <c r="F1417" s="25">
        <v>43109</v>
      </c>
      <c r="G1417" s="70" t="s">
        <v>1423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3491</v>
      </c>
      <c r="B1418" s="67">
        <v>14692639806</v>
      </c>
      <c r="C1418" s="18" t="s">
        <v>1533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3492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3493</v>
      </c>
      <c r="B1420" s="67">
        <v>25745713801</v>
      </c>
      <c r="C1420" s="29" t="s">
        <v>3494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3495</v>
      </c>
      <c r="B1421" s="67">
        <v>10373973802</v>
      </c>
      <c r="C1421" s="72" t="s">
        <v>3496</v>
      </c>
      <c r="D1421" s="69">
        <v>3613530813</v>
      </c>
      <c r="E1421" s="9">
        <v>1752</v>
      </c>
      <c r="F1421" s="25">
        <v>43051</v>
      </c>
      <c r="G1421" s="70" t="s">
        <v>1423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3497</v>
      </c>
      <c r="B1422" s="67">
        <v>25397304859</v>
      </c>
      <c r="C1422" s="29" t="s">
        <v>3498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3499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3500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1423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3501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3502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3503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1423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3504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1423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3505</v>
      </c>
      <c r="B1429" s="67">
        <v>31115215833</v>
      </c>
      <c r="C1429" s="72" t="s">
        <v>3506</v>
      </c>
      <c r="D1429" s="69">
        <v>54134781515</v>
      </c>
      <c r="E1429" s="9">
        <v>608</v>
      </c>
      <c r="F1429" s="25">
        <v>43012</v>
      </c>
      <c r="G1429" s="70" t="s">
        <v>1423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3507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1423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3508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1423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3509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1423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3510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1423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3511</v>
      </c>
      <c r="B1434" s="67">
        <v>35198444863</v>
      </c>
      <c r="C1434" s="72" t="s">
        <v>3512</v>
      </c>
      <c r="D1434" s="69">
        <v>30956969810</v>
      </c>
      <c r="E1434" s="9">
        <v>1489</v>
      </c>
      <c r="F1434" s="25">
        <v>43038</v>
      </c>
      <c r="G1434" s="70" t="s">
        <v>1423</v>
      </c>
      <c r="H1434" s="9"/>
      <c r="I1434" s="8"/>
      <c r="J1434" s="8"/>
      <c r="K1434" s="8"/>
      <c r="L1434" s="9" t="s">
        <v>1564</v>
      </c>
      <c r="M1434" s="8"/>
    </row>
    <row r="1435" spans="1:13" x14ac:dyDescent="0.25">
      <c r="A1435" s="72" t="s">
        <v>3513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3514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1423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3515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1423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3516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1423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3517</v>
      </c>
      <c r="B1439" s="67">
        <v>1930099517</v>
      </c>
      <c r="C1439" s="68" t="s">
        <v>3518</v>
      </c>
      <c r="D1439" s="69">
        <v>91788226534</v>
      </c>
      <c r="E1439" s="9">
        <v>1752</v>
      </c>
      <c r="F1439" s="25">
        <v>43051</v>
      </c>
      <c r="G1439" s="70" t="s">
        <v>1423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3519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3520</v>
      </c>
      <c r="B1441" s="67">
        <v>31068143819</v>
      </c>
      <c r="C1441" s="72" t="s">
        <v>3521</v>
      </c>
      <c r="D1441" s="69">
        <v>27121002809</v>
      </c>
      <c r="E1441" s="9">
        <v>608</v>
      </c>
      <c r="F1441" s="25">
        <v>43012</v>
      </c>
      <c r="G1441" s="70" t="s">
        <v>1429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3522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1423</v>
      </c>
      <c r="H1442" s="9"/>
      <c r="I1442" s="8"/>
      <c r="J1442" s="8"/>
      <c r="K1442" s="8"/>
      <c r="L1442" s="9" t="s">
        <v>1906</v>
      </c>
      <c r="M1442" s="8"/>
    </row>
    <row r="1443" spans="1:13" x14ac:dyDescent="0.25">
      <c r="A1443" s="15" t="s">
        <v>3523</v>
      </c>
      <c r="B1443" s="67">
        <v>33100600800</v>
      </c>
      <c r="C1443" s="72" t="s">
        <v>3524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3525</v>
      </c>
      <c r="B1444" s="67">
        <v>23284980865</v>
      </c>
      <c r="C1444" s="72" t="s">
        <v>3526</v>
      </c>
      <c r="D1444" s="69">
        <v>8170993792</v>
      </c>
      <c r="E1444" s="9">
        <v>1214</v>
      </c>
      <c r="F1444" s="25">
        <v>42989</v>
      </c>
      <c r="G1444" s="70" t="s">
        <v>1423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3527</v>
      </c>
      <c r="B1445" s="67">
        <v>27235231874</v>
      </c>
      <c r="C1445" s="72" t="s">
        <v>3528</v>
      </c>
      <c r="D1445" s="69">
        <v>36182133520</v>
      </c>
      <c r="E1445" s="9">
        <v>1106</v>
      </c>
      <c r="F1445" s="25">
        <v>42965</v>
      </c>
      <c r="G1445" s="70" t="s">
        <v>1423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3529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3530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1423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3531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3532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3533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3534</v>
      </c>
      <c r="B1451" s="67">
        <v>774242809</v>
      </c>
      <c r="C1451" s="72" t="s">
        <v>3535</v>
      </c>
      <c r="D1451" s="69">
        <v>16619607829</v>
      </c>
      <c r="E1451" s="9">
        <v>1824</v>
      </c>
      <c r="F1451" s="25">
        <v>43091</v>
      </c>
      <c r="G1451" s="70" t="s">
        <v>1423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3536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1423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3537</v>
      </c>
      <c r="B1453" s="67">
        <v>34817829850</v>
      </c>
      <c r="C1453" s="72" t="s">
        <v>3538</v>
      </c>
      <c r="D1453" s="69">
        <v>8025534863</v>
      </c>
      <c r="E1453" s="9">
        <v>1241</v>
      </c>
      <c r="F1453" s="25">
        <v>42992</v>
      </c>
      <c r="G1453" s="70" t="s">
        <v>1437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3539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3540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1423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3541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1423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3542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1703</v>
      </c>
      <c r="M1457" s="8"/>
    </row>
    <row r="1458" spans="1:13" x14ac:dyDescent="0.25">
      <c r="A1458" s="14" t="s">
        <v>3543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1423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3544</v>
      </c>
      <c r="B1459" s="67">
        <v>32547457873</v>
      </c>
      <c r="C1459" s="72" t="s">
        <v>3545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3546</v>
      </c>
      <c r="B1460" s="67">
        <v>16784597800</v>
      </c>
      <c r="C1460" s="72" t="s">
        <v>3547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2594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3548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1423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3549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3550</v>
      </c>
      <c r="B1464" s="67">
        <v>2467378403</v>
      </c>
      <c r="C1464" s="72" t="s">
        <v>3551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3552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3553</v>
      </c>
      <c r="B1466" s="67">
        <v>34247512862</v>
      </c>
      <c r="C1466" s="77" t="s">
        <v>3554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1703</v>
      </c>
      <c r="M1466" s="8"/>
    </row>
    <row r="1467" spans="1:13" x14ac:dyDescent="0.25">
      <c r="A1467" s="71" t="s">
        <v>3555</v>
      </c>
      <c r="B1467" s="67" t="s">
        <v>3556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3557</v>
      </c>
      <c r="B1468" s="67">
        <v>47168211889</v>
      </c>
      <c r="C1468" s="72" t="s">
        <v>3558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3559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1423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3560</v>
      </c>
      <c r="B1470" s="67">
        <v>1532239521</v>
      </c>
      <c r="C1470" s="72" t="s">
        <v>3561</v>
      </c>
      <c r="D1470" s="69">
        <v>37104060804</v>
      </c>
      <c r="E1470" s="9">
        <v>810</v>
      </c>
      <c r="F1470" s="25">
        <v>42915</v>
      </c>
      <c r="G1470" s="70" t="s">
        <v>1423</v>
      </c>
      <c r="H1470" s="9"/>
      <c r="I1470" s="8"/>
      <c r="J1470" s="8"/>
      <c r="K1470" s="8"/>
      <c r="L1470" s="9" t="s">
        <v>1542</v>
      </c>
      <c r="M1470" s="8"/>
    </row>
    <row r="1471" spans="1:13" x14ac:dyDescent="0.25">
      <c r="A1471" s="15" t="s">
        <v>3562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1423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3563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1423</v>
      </c>
      <c r="H1472" s="9"/>
      <c r="I1472" s="8"/>
      <c r="J1472" s="8"/>
      <c r="K1472" s="8"/>
      <c r="L1472" s="9" t="s">
        <v>1542</v>
      </c>
      <c r="M1472" s="8"/>
    </row>
    <row r="1473" spans="1:13" x14ac:dyDescent="0.25">
      <c r="A1473" s="71" t="s">
        <v>3564</v>
      </c>
      <c r="B1473" s="67">
        <v>37117512881</v>
      </c>
      <c r="C1473" s="75" t="s">
        <v>3565</v>
      </c>
      <c r="D1473" s="69">
        <v>39740259871</v>
      </c>
      <c r="E1473" s="9">
        <v>1106</v>
      </c>
      <c r="F1473" s="25">
        <v>42965</v>
      </c>
      <c r="G1473" s="70" t="s">
        <v>1423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3566</v>
      </c>
      <c r="B1474" s="67">
        <v>39967942827</v>
      </c>
      <c r="C1474" s="72" t="s">
        <v>3567</v>
      </c>
      <c r="D1474" s="69">
        <v>32777947848</v>
      </c>
      <c r="E1474" s="9">
        <v>1267</v>
      </c>
      <c r="F1474" s="25">
        <v>42998</v>
      </c>
      <c r="G1474" s="70" t="s">
        <v>1423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3568</v>
      </c>
      <c r="B1475" s="67">
        <v>18464307802</v>
      </c>
      <c r="C1475" s="72" t="s">
        <v>3569</v>
      </c>
      <c r="D1475" s="69">
        <v>13642437842</v>
      </c>
      <c r="E1475" s="9">
        <v>608</v>
      </c>
      <c r="F1475" s="25">
        <v>43012</v>
      </c>
      <c r="G1475" s="70" t="s">
        <v>1429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3570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1423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3571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1423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3572</v>
      </c>
      <c r="B1478" s="67">
        <v>91413168515</v>
      </c>
      <c r="C1478" s="72" t="s">
        <v>3573</v>
      </c>
      <c r="D1478" s="69">
        <v>12713438861</v>
      </c>
      <c r="E1478" s="9">
        <v>810</v>
      </c>
      <c r="F1478" s="25">
        <v>42915</v>
      </c>
      <c r="G1478" s="70" t="s">
        <v>1423</v>
      </c>
      <c r="H1478" s="9"/>
      <c r="I1478" s="8"/>
      <c r="J1478" s="8"/>
      <c r="K1478" s="8"/>
      <c r="L1478" s="9" t="s">
        <v>1542</v>
      </c>
      <c r="M1478" s="8"/>
    </row>
    <row r="1479" spans="1:13" x14ac:dyDescent="0.25">
      <c r="A1479" s="72" t="s">
        <v>3574</v>
      </c>
      <c r="B1479" s="67">
        <v>13554461806</v>
      </c>
      <c r="C1479" s="72" t="s">
        <v>3575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3576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1423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3577</v>
      </c>
      <c r="B1481" s="67">
        <v>23473313882</v>
      </c>
      <c r="C1481" s="72" t="s">
        <v>3578</v>
      </c>
      <c r="D1481" s="69">
        <v>51042797404</v>
      </c>
      <c r="E1481" s="9">
        <v>485</v>
      </c>
      <c r="F1481" s="25">
        <v>43196</v>
      </c>
      <c r="G1481" s="70" t="s">
        <v>1429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3579</v>
      </c>
      <c r="B1482" s="67">
        <v>7753877895</v>
      </c>
      <c r="C1482" s="68" t="s">
        <v>3580</v>
      </c>
      <c r="D1482" s="69">
        <v>66725372872</v>
      </c>
      <c r="E1482" s="9">
        <v>1214</v>
      </c>
      <c r="F1482" s="25">
        <v>42989</v>
      </c>
      <c r="G1482" s="70" t="s">
        <v>1423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3581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3582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1423</v>
      </c>
      <c r="H1484" s="9"/>
      <c r="I1484" s="8"/>
      <c r="J1484" s="8"/>
      <c r="K1484" s="8"/>
      <c r="L1484" s="9" t="s">
        <v>1542</v>
      </c>
      <c r="M1484" s="8"/>
    </row>
    <row r="1485" spans="1:13" x14ac:dyDescent="0.25">
      <c r="A1485" s="71" t="s">
        <v>3583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1423</v>
      </c>
      <c r="H1485" s="9"/>
      <c r="I1485" s="8"/>
      <c r="J1485" s="8"/>
      <c r="K1485" s="8"/>
      <c r="L1485" s="9" t="s">
        <v>1542</v>
      </c>
      <c r="M1485" s="8"/>
    </row>
    <row r="1486" spans="1:13" x14ac:dyDescent="0.25">
      <c r="A1486" s="13" t="s">
        <v>3584</v>
      </c>
      <c r="B1486" s="67">
        <v>40779583850</v>
      </c>
      <c r="C1486" s="68" t="s">
        <v>3585</v>
      </c>
      <c r="D1486" s="69">
        <v>36411481890</v>
      </c>
      <c r="E1486" s="9">
        <v>1343</v>
      </c>
      <c r="F1486" s="25">
        <v>43004</v>
      </c>
      <c r="G1486" s="70" t="s">
        <v>1423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3586</v>
      </c>
      <c r="B1487" s="67"/>
      <c r="C1487" s="29" t="s">
        <v>1533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3587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3588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1423</v>
      </c>
      <c r="H1489" s="9"/>
      <c r="I1489" s="8"/>
      <c r="J1489" s="8"/>
      <c r="K1489" s="8"/>
      <c r="L1489" s="9" t="s">
        <v>1542</v>
      </c>
      <c r="M1489" s="8"/>
    </row>
    <row r="1490" spans="1:13" x14ac:dyDescent="0.25">
      <c r="A1490" s="15" t="s">
        <v>3589</v>
      </c>
      <c r="B1490" s="67">
        <v>45854900866</v>
      </c>
      <c r="C1490" s="72" t="s">
        <v>3590</v>
      </c>
      <c r="D1490" s="69">
        <v>23474048813</v>
      </c>
      <c r="E1490" s="9">
        <v>229</v>
      </c>
      <c r="F1490" s="25">
        <v>43151</v>
      </c>
      <c r="G1490" s="70" t="s">
        <v>1423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3591</v>
      </c>
      <c r="B1491" s="67">
        <v>40870285858</v>
      </c>
      <c r="C1491" s="72" t="s">
        <v>3592</v>
      </c>
      <c r="D1491" s="69">
        <v>39638342854</v>
      </c>
      <c r="E1491" s="9">
        <v>229</v>
      </c>
      <c r="F1491" s="25">
        <v>43151</v>
      </c>
      <c r="G1491" s="70" t="s">
        <v>1437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3593</v>
      </c>
      <c r="B1492" s="67">
        <v>43053164809</v>
      </c>
      <c r="C1492" s="71" t="s">
        <v>3594</v>
      </c>
      <c r="D1492" s="69">
        <v>35649973857</v>
      </c>
      <c r="E1492" s="9">
        <v>292</v>
      </c>
      <c r="F1492" s="25">
        <v>43168</v>
      </c>
      <c r="G1492" s="70" t="s">
        <v>1429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3595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3596</v>
      </c>
      <c r="B1494" s="67">
        <v>34727823829</v>
      </c>
      <c r="C1494" s="72" t="s">
        <v>3597</v>
      </c>
      <c r="D1494" s="69">
        <v>33790197807</v>
      </c>
      <c r="E1494" s="9">
        <v>262</v>
      </c>
      <c r="F1494" s="25">
        <v>43160</v>
      </c>
      <c r="G1494" s="70" t="s">
        <v>1429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3598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3599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1423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3600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3601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1423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3602</v>
      </c>
      <c r="B1499" s="67">
        <v>13576812830</v>
      </c>
      <c r="C1499" s="72" t="s">
        <v>3603</v>
      </c>
      <c r="D1499" s="69">
        <v>1075554845</v>
      </c>
      <c r="E1499" s="9">
        <v>1489</v>
      </c>
      <c r="F1499" s="25">
        <v>43038</v>
      </c>
      <c r="G1499" s="70" t="s">
        <v>1423</v>
      </c>
      <c r="H1499" s="9"/>
      <c r="I1499" s="8"/>
      <c r="J1499" s="8"/>
      <c r="K1499" s="8"/>
      <c r="L1499" s="9" t="s">
        <v>1564</v>
      </c>
      <c r="M1499" s="8"/>
    </row>
    <row r="1500" spans="1:13" x14ac:dyDescent="0.25">
      <c r="A1500" s="71" t="s">
        <v>3604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3605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3606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1423</v>
      </c>
      <c r="H1502" s="9"/>
      <c r="I1502" s="8"/>
      <c r="J1502" s="8"/>
      <c r="K1502" s="8"/>
      <c r="L1502" s="9" t="s">
        <v>1542</v>
      </c>
      <c r="M1502" s="8"/>
    </row>
    <row r="1503" spans="1:13" x14ac:dyDescent="0.25">
      <c r="A1503" s="71" t="s">
        <v>3607</v>
      </c>
      <c r="B1503" s="67">
        <v>42490041800</v>
      </c>
      <c r="C1503" s="71" t="s">
        <v>3608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3609</v>
      </c>
      <c r="B1504" s="67">
        <v>37150144829</v>
      </c>
      <c r="C1504" s="72" t="s">
        <v>3610</v>
      </c>
      <c r="D1504" s="69">
        <v>33420633866</v>
      </c>
      <c r="E1504" s="9">
        <v>1417</v>
      </c>
      <c r="F1504" s="25">
        <v>43017</v>
      </c>
      <c r="G1504" s="70" t="s">
        <v>1437</v>
      </c>
      <c r="H1504" s="9"/>
      <c r="I1504" s="8"/>
      <c r="J1504" s="8"/>
      <c r="K1504" s="8"/>
      <c r="L1504" s="9" t="s">
        <v>1657</v>
      </c>
      <c r="M1504" s="8"/>
    </row>
    <row r="1505" spans="1:13" x14ac:dyDescent="0.25">
      <c r="A1505" s="71" t="s">
        <v>3611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3612</v>
      </c>
      <c r="B1506" s="67">
        <v>95482300544</v>
      </c>
      <c r="C1506" s="72" t="s">
        <v>3613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3614</v>
      </c>
      <c r="B1507" s="67">
        <v>3915987590</v>
      </c>
      <c r="C1507" s="72" t="s">
        <v>3615</v>
      </c>
      <c r="D1507" s="69">
        <v>1733607501</v>
      </c>
      <c r="E1507" s="9">
        <v>85</v>
      </c>
      <c r="F1507" s="25">
        <v>43109</v>
      </c>
      <c r="G1507" s="70" t="s">
        <v>1423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3616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1423</v>
      </c>
      <c r="H1508" s="9"/>
      <c r="I1508" s="8"/>
      <c r="J1508" s="8"/>
      <c r="K1508" s="8"/>
      <c r="L1508" s="9" t="s">
        <v>1906</v>
      </c>
      <c r="M1508" s="8"/>
    </row>
    <row r="1509" spans="1:13" x14ac:dyDescent="0.25">
      <c r="A1509" s="71" t="s">
        <v>3617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1423</v>
      </c>
      <c r="H1509" s="9"/>
      <c r="I1509" s="8"/>
      <c r="J1509" s="8"/>
      <c r="K1509" s="8"/>
      <c r="L1509" s="9" t="s">
        <v>1574</v>
      </c>
      <c r="M1509" s="8"/>
    </row>
    <row r="1510" spans="1:13" x14ac:dyDescent="0.25">
      <c r="A1510" s="29" t="s">
        <v>3618</v>
      </c>
      <c r="B1510" s="67"/>
      <c r="C1510" s="18" t="s">
        <v>1533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3619</v>
      </c>
      <c r="B1511" s="80">
        <v>39490354864</v>
      </c>
      <c r="C1511" s="81" t="s">
        <v>3620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3621</v>
      </c>
      <c r="B1512" s="67">
        <v>36190827829</v>
      </c>
      <c r="C1512" s="72" t="s">
        <v>3622</v>
      </c>
      <c r="D1512" s="69">
        <v>6501914809</v>
      </c>
      <c r="E1512" s="9">
        <v>1489</v>
      </c>
      <c r="F1512" s="25">
        <v>43038</v>
      </c>
      <c r="G1512" s="70" t="s">
        <v>1423</v>
      </c>
      <c r="H1512" s="9"/>
      <c r="I1512" s="8"/>
      <c r="J1512" s="8"/>
      <c r="K1512" s="8"/>
      <c r="L1512" s="9" t="s">
        <v>1564</v>
      </c>
      <c r="M1512" s="8"/>
    </row>
    <row r="1513" spans="1:13" x14ac:dyDescent="0.25">
      <c r="A1513" s="71" t="s">
        <v>3623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1423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3624</v>
      </c>
      <c r="B1514" s="67">
        <v>37978221890</v>
      </c>
      <c r="C1514" s="15" t="s">
        <v>3625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3626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1703</v>
      </c>
      <c r="M1515" s="8"/>
    </row>
    <row r="1516" spans="1:13" x14ac:dyDescent="0.25">
      <c r="A1516" s="71" t="s">
        <v>3627</v>
      </c>
      <c r="B1516" s="67">
        <v>23341671854</v>
      </c>
      <c r="C1516" s="72" t="s">
        <v>3628</v>
      </c>
      <c r="D1516" s="69">
        <v>34413431820</v>
      </c>
      <c r="E1516" s="9">
        <v>810</v>
      </c>
      <c r="F1516" s="25">
        <v>42915</v>
      </c>
      <c r="G1516" s="83" t="s">
        <v>1423</v>
      </c>
      <c r="H1516" s="9"/>
      <c r="I1516" s="8"/>
      <c r="J1516" s="8"/>
      <c r="K1516" s="8"/>
      <c r="L1516" s="9" t="s">
        <v>1542</v>
      </c>
      <c r="M1516" s="8"/>
    </row>
    <row r="1517" spans="1:13" x14ac:dyDescent="0.25">
      <c r="A1517" s="71" t="s">
        <v>3629</v>
      </c>
      <c r="B1517" s="67">
        <v>35934079816</v>
      </c>
      <c r="C1517" s="72" t="s">
        <v>3630</v>
      </c>
      <c r="D1517" s="69">
        <v>2511538512</v>
      </c>
      <c r="E1517" s="9">
        <v>262</v>
      </c>
      <c r="F1517" s="25">
        <v>43160</v>
      </c>
      <c r="G1517" s="70" t="s">
        <v>1423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3631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1423</v>
      </c>
      <c r="H1518" s="9"/>
      <c r="I1518" s="8"/>
      <c r="J1518" s="8"/>
      <c r="K1518" s="8"/>
      <c r="L1518" s="9" t="s">
        <v>1574</v>
      </c>
      <c r="M1518" s="8"/>
    </row>
    <row r="1519" spans="1:13" x14ac:dyDescent="0.25">
      <c r="A1519" s="71" t="s">
        <v>3632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1423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3633</v>
      </c>
      <c r="B1520" s="67">
        <v>37395316819</v>
      </c>
      <c r="C1520" s="72" t="s">
        <v>3634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3635</v>
      </c>
      <c r="B1521" s="80">
        <v>47168651854</v>
      </c>
      <c r="C1521" s="50" t="s">
        <v>3636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3637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3638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1423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3639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1423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3640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3641</v>
      </c>
      <c r="B1526" s="67">
        <v>36776791848</v>
      </c>
      <c r="C1526" s="72" t="s">
        <v>3642</v>
      </c>
      <c r="D1526" s="69">
        <v>23340578869</v>
      </c>
      <c r="E1526" s="9">
        <v>608</v>
      </c>
      <c r="F1526" s="25">
        <v>43012</v>
      </c>
      <c r="G1526" s="70" t="s">
        <v>1423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3643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3644</v>
      </c>
      <c r="B1528" s="67">
        <v>32561817830</v>
      </c>
      <c r="C1528" s="72" t="s">
        <v>3645</v>
      </c>
      <c r="D1528" s="69">
        <v>30328335827</v>
      </c>
      <c r="E1528" s="9">
        <v>1824</v>
      </c>
      <c r="F1528" s="25">
        <v>43091</v>
      </c>
      <c r="G1528" s="70" t="s">
        <v>1429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3646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1423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3647</v>
      </c>
      <c r="B1530" s="67">
        <v>36044847829</v>
      </c>
      <c r="C1530" s="72" t="s">
        <v>3648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3649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3650</v>
      </c>
      <c r="B1532" s="67">
        <v>35070422820</v>
      </c>
      <c r="C1532" s="72" t="s">
        <v>3651</v>
      </c>
      <c r="D1532" s="69">
        <v>24871235831</v>
      </c>
      <c r="E1532" s="9">
        <v>292</v>
      </c>
      <c r="F1532" s="25">
        <v>43168</v>
      </c>
      <c r="G1532" s="70" t="s">
        <v>1423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3652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1703</v>
      </c>
      <c r="M1533" s="8"/>
    </row>
    <row r="1534" spans="1:13" x14ac:dyDescent="0.25">
      <c r="A1534" s="15" t="s">
        <v>3653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3654</v>
      </c>
      <c r="B1535" s="67"/>
      <c r="C1535" s="29" t="s">
        <v>3655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3656</v>
      </c>
      <c r="B1536" s="67">
        <v>47240915840</v>
      </c>
      <c r="C1536" s="72"/>
      <c r="D1536" s="69"/>
      <c r="E1536" s="9"/>
      <c r="F1536" s="25"/>
      <c r="G1536" s="70" t="s">
        <v>1423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3657</v>
      </c>
      <c r="B1537" s="67"/>
      <c r="C1537" s="18" t="s">
        <v>1533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3658</v>
      </c>
      <c r="B1538" s="67">
        <v>42424051895</v>
      </c>
      <c r="C1538" s="72" t="s">
        <v>3659</v>
      </c>
      <c r="D1538" s="69">
        <v>34920392869</v>
      </c>
      <c r="E1538" s="9">
        <v>1214</v>
      </c>
      <c r="F1538" s="25">
        <v>42989</v>
      </c>
      <c r="G1538" s="70" t="s">
        <v>1423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3660</v>
      </c>
      <c r="B1539" s="67">
        <v>45298965873</v>
      </c>
      <c r="C1539" s="18" t="s">
        <v>1533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3661</v>
      </c>
      <c r="B1540" s="67">
        <v>48176009857</v>
      </c>
      <c r="C1540" s="18" t="s">
        <v>1533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3662</v>
      </c>
      <c r="B1541" s="67">
        <v>32645353860</v>
      </c>
      <c r="C1541" s="71" t="s">
        <v>3663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3664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1423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3665</v>
      </c>
      <c r="B1543" s="67">
        <v>34899686897</v>
      </c>
      <c r="C1543" s="72" t="s">
        <v>3666</v>
      </c>
      <c r="D1543" s="69">
        <v>34782852835</v>
      </c>
      <c r="E1543" s="9">
        <v>810</v>
      </c>
      <c r="F1543" s="25">
        <v>42915</v>
      </c>
      <c r="G1543" s="70" t="s">
        <v>1423</v>
      </c>
      <c r="H1543" s="76">
        <v>43213</v>
      </c>
      <c r="I1543" s="8"/>
      <c r="J1543" s="8"/>
      <c r="K1543" s="8"/>
      <c r="L1543" s="9" t="s">
        <v>1542</v>
      </c>
      <c r="M1543" s="8"/>
    </row>
    <row r="1544" spans="1:13" x14ac:dyDescent="0.25">
      <c r="A1544" s="71" t="s">
        <v>3667</v>
      </c>
      <c r="B1544" s="67">
        <v>39778910812</v>
      </c>
      <c r="C1544" s="68" t="s">
        <v>3668</v>
      </c>
      <c r="D1544" s="69">
        <v>34703237806</v>
      </c>
      <c r="E1544" s="9">
        <v>1128</v>
      </c>
      <c r="F1544" s="25">
        <v>42972</v>
      </c>
      <c r="G1544" s="70" t="s">
        <v>1423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3669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1703</v>
      </c>
      <c r="M1545" s="8"/>
    </row>
    <row r="1546" spans="1:13" x14ac:dyDescent="0.25">
      <c r="A1546" s="72" t="s">
        <v>3670</v>
      </c>
      <c r="B1546" s="67">
        <v>22429349884</v>
      </c>
      <c r="C1546" s="72" t="s">
        <v>3671</v>
      </c>
      <c r="D1546" s="69">
        <v>32307277897</v>
      </c>
      <c r="E1546" s="9">
        <v>1417</v>
      </c>
      <c r="F1546" s="25">
        <v>43017</v>
      </c>
      <c r="G1546" s="70" t="s">
        <v>1423</v>
      </c>
      <c r="H1546" s="9"/>
      <c r="I1546" s="8"/>
      <c r="J1546" s="8"/>
      <c r="K1546" s="8"/>
      <c r="L1546" s="9" t="s">
        <v>1657</v>
      </c>
      <c r="M1546" s="8"/>
    </row>
    <row r="1547" spans="1:13" x14ac:dyDescent="0.25">
      <c r="A1547" s="13" t="s">
        <v>3672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1423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3673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1703</v>
      </c>
      <c r="M1548" s="8"/>
    </row>
    <row r="1549" spans="1:13" x14ac:dyDescent="0.25">
      <c r="A1549" s="15" t="s">
        <v>3674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1423</v>
      </c>
      <c r="H1549" s="9"/>
      <c r="I1549" s="8"/>
      <c r="J1549" s="8"/>
      <c r="K1549" s="8"/>
      <c r="L1549" s="9" t="s">
        <v>1574</v>
      </c>
      <c r="M1549" s="8"/>
    </row>
    <row r="1550" spans="1:13" x14ac:dyDescent="0.25">
      <c r="A1550" s="15" t="s">
        <v>3675</v>
      </c>
      <c r="B1550" s="67">
        <v>7081215432</v>
      </c>
      <c r="C1550" s="15" t="s">
        <v>3676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1703</v>
      </c>
      <c r="M1550" s="8"/>
    </row>
    <row r="1551" spans="1:13" x14ac:dyDescent="0.25">
      <c r="A1551" s="71" t="s">
        <v>3677</v>
      </c>
      <c r="B1551" s="67">
        <v>37104895809</v>
      </c>
      <c r="C1551" s="72" t="s">
        <v>3678</v>
      </c>
      <c r="D1551" s="69">
        <v>34256763856</v>
      </c>
      <c r="E1551" s="9">
        <v>1752</v>
      </c>
      <c r="F1551" s="25">
        <v>43051</v>
      </c>
      <c r="G1551" s="70" t="s">
        <v>1437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3679</v>
      </c>
      <c r="B1552" s="67"/>
      <c r="C1552" s="29" t="s">
        <v>1533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3680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1703</v>
      </c>
      <c r="M1553" s="8"/>
    </row>
    <row r="1554" spans="1:13" x14ac:dyDescent="0.25">
      <c r="A1554" s="14" t="s">
        <v>3681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1423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3682</v>
      </c>
      <c r="B1555" s="67">
        <v>45862437835</v>
      </c>
      <c r="C1555" s="72" t="s">
        <v>3683</v>
      </c>
      <c r="D1555" s="69">
        <v>2301226280</v>
      </c>
      <c r="E1555" s="9">
        <v>1752</v>
      </c>
      <c r="F1555" s="25">
        <v>43051</v>
      </c>
      <c r="G1555" s="70" t="s">
        <v>1423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3684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1423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3685</v>
      </c>
      <c r="B1557" s="67"/>
      <c r="C1557" s="29" t="s">
        <v>3686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3687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3688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1703</v>
      </c>
      <c r="M1559" s="8"/>
    </row>
    <row r="1560" spans="1:13" x14ac:dyDescent="0.25">
      <c r="A1560" s="71" t="s">
        <v>3689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1423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3690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1423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3691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1423</v>
      </c>
      <c r="H1562" s="9"/>
      <c r="I1562" s="8"/>
      <c r="J1562" s="8"/>
      <c r="K1562" s="8"/>
      <c r="L1562" s="9" t="s">
        <v>1542</v>
      </c>
      <c r="M1562" s="8"/>
    </row>
    <row r="1563" spans="1:13" x14ac:dyDescent="0.25">
      <c r="A1563" s="15" t="s">
        <v>3692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1423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3693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1423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3694</v>
      </c>
      <c r="B1565" s="67">
        <v>33390811826</v>
      </c>
      <c r="C1565" s="72" t="s">
        <v>3695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3696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1423</v>
      </c>
      <c r="H1566" s="9"/>
      <c r="I1566" s="8"/>
      <c r="J1566" s="8"/>
      <c r="K1566" s="8"/>
      <c r="L1566" s="9" t="s">
        <v>1657</v>
      </c>
      <c r="M1566" s="8"/>
    </row>
    <row r="1567" spans="1:13" x14ac:dyDescent="0.25">
      <c r="A1567" s="29" t="s">
        <v>3697</v>
      </c>
      <c r="B1567" s="67">
        <v>22173656813</v>
      </c>
      <c r="C1567" s="18" t="s">
        <v>1533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3698</v>
      </c>
      <c r="B1568" s="67">
        <v>30690514808</v>
      </c>
      <c r="C1568" s="72" t="s">
        <v>3699</v>
      </c>
      <c r="D1568" s="69">
        <v>22622085818</v>
      </c>
      <c r="E1568" s="9">
        <v>423</v>
      </c>
      <c r="F1568" s="25">
        <v>43182</v>
      </c>
      <c r="G1568" s="9" t="s">
        <v>1423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3700</v>
      </c>
      <c r="B1569" s="67">
        <v>43901748865</v>
      </c>
      <c r="C1569" s="72" t="s">
        <v>3701</v>
      </c>
      <c r="D1569" s="69">
        <v>34818027812</v>
      </c>
      <c r="E1569" s="9">
        <v>1824</v>
      </c>
      <c r="F1569" s="25">
        <v>43091</v>
      </c>
      <c r="G1569" s="70" t="s">
        <v>1423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3702</v>
      </c>
      <c r="B1570" s="67"/>
      <c r="C1570" s="18" t="s">
        <v>1533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3703</v>
      </c>
      <c r="B1571" s="67">
        <v>5212444390</v>
      </c>
      <c r="C1571" s="15" t="s">
        <v>3704</v>
      </c>
      <c r="D1571" s="69">
        <v>2231738350</v>
      </c>
      <c r="E1571" s="9">
        <v>292</v>
      </c>
      <c r="F1571" s="25">
        <v>43168</v>
      </c>
      <c r="G1571" s="70" t="s">
        <v>1423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3705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3706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1423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3707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3708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1423</v>
      </c>
      <c r="H1575" s="9"/>
      <c r="I1575" s="8"/>
      <c r="J1575" s="8"/>
      <c r="K1575" s="8"/>
      <c r="L1575" s="9" t="s">
        <v>1542</v>
      </c>
      <c r="M1575" s="8"/>
    </row>
    <row r="1576" spans="1:13" x14ac:dyDescent="0.25">
      <c r="A1576" s="71" t="s">
        <v>3709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1423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3710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3711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3712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3713</v>
      </c>
      <c r="B1580" s="67">
        <v>88436144520</v>
      </c>
      <c r="C1580" s="29" t="s">
        <v>1533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3714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3715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1423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3716</v>
      </c>
      <c r="B1583" s="67">
        <v>4967493580</v>
      </c>
      <c r="C1583" s="15" t="s">
        <v>3717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3718</v>
      </c>
      <c r="B1584" s="67">
        <v>28043649847</v>
      </c>
      <c r="C1584" s="72" t="s">
        <v>3719</v>
      </c>
      <c r="D1584" s="69">
        <v>37064432870</v>
      </c>
      <c r="E1584" s="9">
        <v>117</v>
      </c>
      <c r="F1584" s="25">
        <v>43117</v>
      </c>
      <c r="G1584" s="70" t="s">
        <v>1423</v>
      </c>
      <c r="H1584" s="9"/>
      <c r="I1584" s="8"/>
      <c r="J1584" s="8"/>
      <c r="K1584" s="8"/>
      <c r="L1584" s="9" t="s">
        <v>1574</v>
      </c>
      <c r="M1584" s="8"/>
    </row>
    <row r="1585" spans="1:13" x14ac:dyDescent="0.25">
      <c r="A1585" s="71" t="s">
        <v>3720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1423</v>
      </c>
      <c r="H1585" s="9"/>
      <c r="I1585" s="8"/>
      <c r="J1585" s="8"/>
      <c r="K1585" s="8"/>
      <c r="L1585" s="9" t="s">
        <v>1542</v>
      </c>
      <c r="M1585" s="8"/>
    </row>
    <row r="1586" spans="1:13" x14ac:dyDescent="0.25">
      <c r="A1586" s="73" t="s">
        <v>3721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1423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3722</v>
      </c>
      <c r="B1587" s="67">
        <v>45671290325</v>
      </c>
      <c r="C1587" s="72" t="s">
        <v>3723</v>
      </c>
      <c r="D1587" s="69">
        <v>13019071895</v>
      </c>
      <c r="E1587" s="9">
        <v>117</v>
      </c>
      <c r="F1587" s="25">
        <v>43117</v>
      </c>
      <c r="G1587" s="70" t="s">
        <v>1437</v>
      </c>
      <c r="H1587" s="9"/>
      <c r="I1587" s="8"/>
      <c r="J1587" s="8"/>
      <c r="K1587" s="8"/>
      <c r="L1587" s="9" t="s">
        <v>1574</v>
      </c>
      <c r="M1587" s="8"/>
    </row>
    <row r="1588" spans="1:13" x14ac:dyDescent="0.25">
      <c r="A1588" s="13" t="s">
        <v>3724</v>
      </c>
      <c r="B1588" s="67">
        <v>7677424864</v>
      </c>
      <c r="C1588" s="72" t="s">
        <v>3725</v>
      </c>
      <c r="D1588" s="69">
        <v>6128186831</v>
      </c>
      <c r="E1588" s="9">
        <v>1570</v>
      </c>
      <c r="F1588" s="25">
        <v>43077</v>
      </c>
      <c r="G1588" s="70" t="s">
        <v>1423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3726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3727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1423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3728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1423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3729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3730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1423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3731</v>
      </c>
      <c r="B1594" s="67"/>
      <c r="C1594" s="29" t="s">
        <v>1533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3732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1423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3733</v>
      </c>
      <c r="B1596" s="67">
        <v>47555303850</v>
      </c>
      <c r="C1596" s="18" t="s">
        <v>1533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3734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1423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3735</v>
      </c>
      <c r="B1598" s="67">
        <v>25966733805</v>
      </c>
      <c r="C1598" s="72" t="s">
        <v>3736</v>
      </c>
      <c r="D1598" s="69">
        <v>19681706854</v>
      </c>
      <c r="E1598" s="9">
        <v>1752</v>
      </c>
      <c r="F1598" s="25">
        <v>43051</v>
      </c>
      <c r="G1598" s="70" t="s">
        <v>1429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3737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1423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3738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1423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3739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3740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1423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3741</v>
      </c>
      <c r="B1603" s="67">
        <v>32448230846</v>
      </c>
      <c r="C1603" s="18" t="s">
        <v>3742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3743</v>
      </c>
      <c r="B1604" s="67">
        <v>56151250559</v>
      </c>
      <c r="C1604" s="18" t="s">
        <v>3744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3745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1423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3746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3747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1423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3748</v>
      </c>
      <c r="B1608" s="67">
        <v>36713930840</v>
      </c>
      <c r="C1608" s="68" t="s">
        <v>3749</v>
      </c>
      <c r="D1608" s="69">
        <v>30171047885</v>
      </c>
      <c r="E1608" s="9">
        <v>1128</v>
      </c>
      <c r="F1608" s="25">
        <v>42972</v>
      </c>
      <c r="G1608" s="70" t="s">
        <v>1423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3750</v>
      </c>
      <c r="B1609" s="67">
        <v>37138221827</v>
      </c>
      <c r="C1609" s="29" t="s">
        <v>3751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3752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1423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3753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1423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3754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1423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3755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3756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1423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3757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1423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3758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1423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3759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3760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1423</v>
      </c>
      <c r="H1618" s="9"/>
      <c r="I1618" s="8"/>
      <c r="J1618" s="8"/>
      <c r="K1618" s="8"/>
      <c r="L1618" s="9" t="s">
        <v>1542</v>
      </c>
      <c r="M1618" s="8"/>
    </row>
    <row r="1619" spans="1:13" x14ac:dyDescent="0.25">
      <c r="A1619" s="71" t="s">
        <v>3761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1423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3762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1423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3763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3764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3765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1423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3766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3767</v>
      </c>
      <c r="B1625" s="67">
        <v>37338189897</v>
      </c>
      <c r="C1625" s="72" t="s">
        <v>3768</v>
      </c>
      <c r="D1625" s="69">
        <v>27359655897</v>
      </c>
      <c r="E1625" s="9">
        <v>1824</v>
      </c>
      <c r="F1625" s="25">
        <v>43091</v>
      </c>
      <c r="G1625" s="70" t="s">
        <v>1423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3769</v>
      </c>
      <c r="B1626" s="67">
        <v>45632601854</v>
      </c>
      <c r="C1626" s="32" t="s">
        <v>3770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1703</v>
      </c>
      <c r="M1626" s="8"/>
    </row>
    <row r="1627" spans="1:13" x14ac:dyDescent="0.25">
      <c r="A1627" s="29" t="s">
        <v>3771</v>
      </c>
      <c r="B1627" s="67"/>
      <c r="C1627" s="29" t="s">
        <v>3772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3773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3774</v>
      </c>
      <c r="B1629" s="67">
        <v>38150547886</v>
      </c>
      <c r="C1629" s="72" t="s">
        <v>3775</v>
      </c>
      <c r="D1629" s="69">
        <v>36270820871</v>
      </c>
      <c r="E1629" s="9">
        <v>262</v>
      </c>
      <c r="F1629" s="25">
        <v>43160</v>
      </c>
      <c r="G1629" s="9" t="s">
        <v>1423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3776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3777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3778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3779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3780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1423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3781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1423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3782</v>
      </c>
      <c r="B1636" s="67">
        <v>44852605858</v>
      </c>
      <c r="C1636" s="15" t="s">
        <v>3783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3784</v>
      </c>
      <c r="B1637" s="67">
        <v>42130610862</v>
      </c>
      <c r="C1637" s="29" t="s">
        <v>3785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3786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1423</v>
      </c>
      <c r="H1638" s="9"/>
      <c r="I1638" s="8"/>
      <c r="J1638" s="8"/>
      <c r="K1638" s="8"/>
      <c r="L1638" s="9" t="s">
        <v>1574</v>
      </c>
      <c r="M1638" s="8"/>
    </row>
    <row r="1639" spans="1:13" x14ac:dyDescent="0.25">
      <c r="A1639" s="15" t="s">
        <v>3787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3788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1423</v>
      </c>
      <c r="H1640" s="9"/>
      <c r="I1640" s="8"/>
      <c r="J1640" s="8"/>
      <c r="K1640" s="8"/>
      <c r="L1640" s="9" t="s">
        <v>1574</v>
      </c>
      <c r="M1640" s="8"/>
    </row>
    <row r="1641" spans="1:13" x14ac:dyDescent="0.25">
      <c r="A1641" s="71" t="s">
        <v>3789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1423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3790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3791</v>
      </c>
      <c r="B1643" s="67">
        <v>25399089858</v>
      </c>
      <c r="C1643" s="18" t="s">
        <v>3792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3793</v>
      </c>
      <c r="B1644" s="67">
        <v>36758489817</v>
      </c>
      <c r="C1644" s="72" t="s">
        <v>3794</v>
      </c>
      <c r="D1644" s="69">
        <v>15602238808</v>
      </c>
      <c r="E1644" s="9">
        <v>117</v>
      </c>
      <c r="F1644" s="25">
        <v>43117</v>
      </c>
      <c r="G1644" s="70" t="s">
        <v>1423</v>
      </c>
      <c r="H1644" s="9"/>
      <c r="I1644" s="8"/>
      <c r="J1644" s="8"/>
      <c r="K1644" s="8"/>
      <c r="L1644" s="9" t="s">
        <v>1574</v>
      </c>
      <c r="M1644" s="8"/>
    </row>
    <row r="1645" spans="1:13" x14ac:dyDescent="0.25">
      <c r="A1645" s="71" t="s">
        <v>3795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1423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3796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3797</v>
      </c>
      <c r="B1647" s="67">
        <v>3051791440</v>
      </c>
      <c r="C1647" s="72" t="s">
        <v>3798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3799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1423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3800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3801</v>
      </c>
      <c r="B1650" s="67">
        <v>8774817841</v>
      </c>
      <c r="C1650" s="18" t="s">
        <v>1533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3802</v>
      </c>
      <c r="B1651" s="67">
        <v>15730438850</v>
      </c>
      <c r="C1651" s="72" t="s">
        <v>3803</v>
      </c>
      <c r="D1651" s="69">
        <v>11253544883</v>
      </c>
      <c r="E1651" s="9">
        <v>1628</v>
      </c>
      <c r="F1651" s="25">
        <v>43077</v>
      </c>
      <c r="G1651" s="70" t="s">
        <v>1423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3804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3805</v>
      </c>
      <c r="B1653" s="67">
        <v>16416601800</v>
      </c>
      <c r="C1653" s="72" t="s">
        <v>3806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3807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3808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1423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3809</v>
      </c>
      <c r="B1656" s="67">
        <v>6595999617</v>
      </c>
      <c r="C1656" s="68" t="s">
        <v>3810</v>
      </c>
      <c r="D1656" s="69">
        <v>9929242430</v>
      </c>
      <c r="E1656" s="9">
        <v>1128</v>
      </c>
      <c r="F1656" s="25">
        <v>42972</v>
      </c>
      <c r="G1656" s="70" t="s">
        <v>1423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3811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1423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3812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3813</v>
      </c>
      <c r="B1659" s="67">
        <v>28785359874</v>
      </c>
      <c r="C1659" s="72" t="s">
        <v>3814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3815</v>
      </c>
      <c r="B1660" s="67">
        <v>36460261890</v>
      </c>
      <c r="C1660" s="72" t="s">
        <v>3816</v>
      </c>
      <c r="D1660" s="69">
        <v>7468402841</v>
      </c>
      <c r="E1660" s="9">
        <v>608</v>
      </c>
      <c r="F1660" s="25">
        <v>43012</v>
      </c>
      <c r="G1660" s="70" t="s">
        <v>1423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3817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1423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3818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1423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3819</v>
      </c>
      <c r="B1663" s="67">
        <v>34385358826</v>
      </c>
      <c r="C1663" s="72" t="s">
        <v>3820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3821</v>
      </c>
      <c r="B1664" s="67">
        <v>24820428870</v>
      </c>
      <c r="C1664" s="72" t="s">
        <v>3822</v>
      </c>
      <c r="D1664" s="69">
        <v>22012255833</v>
      </c>
      <c r="E1664" s="9">
        <v>1417</v>
      </c>
      <c r="F1664" s="25">
        <v>43017</v>
      </c>
      <c r="G1664" s="70" t="s">
        <v>1423</v>
      </c>
      <c r="H1664" s="9"/>
      <c r="I1664" s="8"/>
      <c r="J1664" s="8"/>
      <c r="K1664" s="8"/>
      <c r="L1664" s="9" t="s">
        <v>1657</v>
      </c>
      <c r="M1664" s="8"/>
    </row>
    <row r="1665" spans="1:13" x14ac:dyDescent="0.25">
      <c r="A1665" s="29" t="s">
        <v>3823</v>
      </c>
      <c r="B1665" s="67">
        <v>31148609822</v>
      </c>
      <c r="C1665" s="29" t="s">
        <v>3824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3825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1437</v>
      </c>
      <c r="H1666" s="9"/>
      <c r="I1666" s="8"/>
      <c r="J1666" s="8"/>
      <c r="K1666" s="8"/>
      <c r="L1666" s="9" t="s">
        <v>1574</v>
      </c>
      <c r="M1666" s="8"/>
    </row>
    <row r="1667" spans="1:13" x14ac:dyDescent="0.25">
      <c r="A1667" s="14" t="s">
        <v>3826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3826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1423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3827</v>
      </c>
      <c r="B1669" s="67">
        <v>44772896856</v>
      </c>
      <c r="C1669" s="72" t="s">
        <v>3828</v>
      </c>
      <c r="D1669" s="69">
        <v>39313729873</v>
      </c>
      <c r="E1669" s="9">
        <v>117</v>
      </c>
      <c r="F1669" s="25">
        <v>43117</v>
      </c>
      <c r="G1669" s="70" t="s">
        <v>1423</v>
      </c>
      <c r="H1669" s="9"/>
      <c r="I1669" s="8"/>
      <c r="J1669" s="8"/>
      <c r="K1669" s="8"/>
      <c r="L1669" s="9" t="s">
        <v>1574</v>
      </c>
      <c r="M1669" s="8"/>
    </row>
    <row r="1670" spans="1:13" x14ac:dyDescent="0.25">
      <c r="A1670" s="29" t="s">
        <v>3829</v>
      </c>
      <c r="B1670" s="67">
        <v>28501359840</v>
      </c>
      <c r="C1670" s="29" t="s">
        <v>3830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3831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3832</v>
      </c>
      <c r="B1672" s="67">
        <v>30131142828</v>
      </c>
      <c r="C1672" s="77" t="s">
        <v>3833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3834</v>
      </c>
      <c r="B1673" s="67"/>
      <c r="C1673" s="29" t="s">
        <v>1533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3835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1423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3836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1423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3837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1423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3838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1423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3839</v>
      </c>
      <c r="B1678" s="67">
        <v>30319988805</v>
      </c>
      <c r="C1678" s="29" t="s">
        <v>1533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3840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3841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1423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3842</v>
      </c>
      <c r="B1681" s="67">
        <v>1565236122</v>
      </c>
      <c r="C1681" s="72" t="s">
        <v>3843</v>
      </c>
      <c r="D1681" s="69">
        <v>218506589</v>
      </c>
      <c r="E1681" s="9">
        <v>1241</v>
      </c>
      <c r="F1681" s="25">
        <v>42992</v>
      </c>
      <c r="G1681" s="70" t="s">
        <v>1423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3844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3845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1423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3846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3847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3848</v>
      </c>
      <c r="B1686" s="67">
        <v>28842233803</v>
      </c>
      <c r="C1686" s="72" t="s">
        <v>3849</v>
      </c>
      <c r="D1686" s="69">
        <v>39207708892</v>
      </c>
      <c r="E1686" s="9">
        <v>262</v>
      </c>
      <c r="F1686" s="25">
        <v>43160</v>
      </c>
      <c r="G1686" s="70" t="s">
        <v>1429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3850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1423</v>
      </c>
      <c r="H1687" s="9"/>
      <c r="I1687" s="8"/>
      <c r="J1687" s="8"/>
      <c r="K1687" s="8"/>
      <c r="L1687" s="9" t="s">
        <v>1542</v>
      </c>
      <c r="M1687" s="8"/>
    </row>
    <row r="1688" spans="1:13" x14ac:dyDescent="0.25">
      <c r="A1688" s="71" t="s">
        <v>3851</v>
      </c>
      <c r="B1688" s="67">
        <v>39111957883</v>
      </c>
      <c r="C1688" s="72" t="s">
        <v>3852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3853</v>
      </c>
      <c r="B1689" s="67">
        <v>26763450877</v>
      </c>
      <c r="C1689" s="72" t="s">
        <v>3854</v>
      </c>
      <c r="D1689" s="69">
        <v>23405053803</v>
      </c>
      <c r="E1689" s="9">
        <v>292</v>
      </c>
      <c r="F1689" s="25">
        <v>43168</v>
      </c>
      <c r="G1689" s="70" t="s">
        <v>1423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3855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1423</v>
      </c>
      <c r="H1690" s="9"/>
      <c r="I1690" s="8"/>
      <c r="J1690" s="8"/>
      <c r="K1690" s="8"/>
      <c r="L1690" s="9" t="s">
        <v>1574</v>
      </c>
      <c r="M1690" s="8"/>
    </row>
    <row r="1691" spans="1:13" x14ac:dyDescent="0.25">
      <c r="A1691" s="29" t="s">
        <v>3856</v>
      </c>
      <c r="B1691" s="67">
        <v>41696411831</v>
      </c>
      <c r="C1691" s="29" t="s">
        <v>3857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3858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3859</v>
      </c>
      <c r="B1693" s="67"/>
      <c r="C1693" s="18" t="s">
        <v>1533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3860</v>
      </c>
      <c r="B1694" s="67">
        <v>8946062479</v>
      </c>
      <c r="C1694" s="15" t="s">
        <v>3861</v>
      </c>
      <c r="D1694" s="69">
        <v>9671165460</v>
      </c>
      <c r="E1694" s="9">
        <v>292</v>
      </c>
      <c r="F1694" s="25">
        <v>43168</v>
      </c>
      <c r="G1694" s="70" t="s">
        <v>1429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3862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1423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3863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1423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3864</v>
      </c>
      <c r="B1697" s="67"/>
      <c r="C1697" s="18" t="s">
        <v>1533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3865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1423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3866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3867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3868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3869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3870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3871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3872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3873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1423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3874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1423</v>
      </c>
      <c r="H1707" s="9"/>
      <c r="I1707" s="8"/>
      <c r="J1707" s="8"/>
      <c r="K1707" s="8"/>
      <c r="L1707" s="9" t="s">
        <v>1657</v>
      </c>
      <c r="M1707" s="8"/>
    </row>
    <row r="1708" spans="1:13" x14ac:dyDescent="0.25">
      <c r="A1708" s="13" t="s">
        <v>3875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1423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3876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3877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3878</v>
      </c>
      <c r="B1711" s="67"/>
      <c r="C1711" s="18" t="s">
        <v>1533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3879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1423</v>
      </c>
      <c r="H1712" s="9"/>
      <c r="I1712" s="8"/>
      <c r="J1712" s="8"/>
      <c r="K1712" s="8"/>
      <c r="L1712" s="9" t="s">
        <v>1574</v>
      </c>
      <c r="M1712" s="8"/>
    </row>
    <row r="1713" spans="1:13" x14ac:dyDescent="0.25">
      <c r="A1713" s="71" t="s">
        <v>3880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1423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3881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1423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3882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3883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1423</v>
      </c>
      <c r="H1716" s="9"/>
      <c r="I1716" s="8"/>
      <c r="J1716" s="8"/>
      <c r="K1716" s="8"/>
      <c r="L1716" s="9" t="s">
        <v>1542</v>
      </c>
      <c r="M1716" s="8"/>
    </row>
    <row r="1717" spans="1:13" x14ac:dyDescent="0.25">
      <c r="A1717" s="71" t="s">
        <v>3884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3885</v>
      </c>
      <c r="B1718" s="67">
        <v>26903961810</v>
      </c>
      <c r="C1718" s="72" t="s">
        <v>3886</v>
      </c>
      <c r="D1718" s="69">
        <v>40904229904</v>
      </c>
      <c r="E1718" s="9">
        <v>1555</v>
      </c>
      <c r="F1718" s="25">
        <v>43049</v>
      </c>
      <c r="G1718" s="70" t="s">
        <v>1423</v>
      </c>
      <c r="H1718" s="9"/>
      <c r="I1718" s="8"/>
      <c r="J1718" s="8"/>
      <c r="K1718" s="8"/>
      <c r="L1718" s="9" t="s">
        <v>1802</v>
      </c>
      <c r="M1718" s="8"/>
    </row>
    <row r="1719" spans="1:13" x14ac:dyDescent="0.25">
      <c r="A1719" s="18" t="s">
        <v>3887</v>
      </c>
      <c r="B1719" s="67">
        <v>31611651875</v>
      </c>
      <c r="C1719" s="18" t="s">
        <v>3888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3889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1423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3890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3891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1423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3892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3893</v>
      </c>
      <c r="B1724" s="69">
        <v>22580790802</v>
      </c>
      <c r="C1724" s="71" t="s">
        <v>3894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3895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3896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3897</v>
      </c>
      <c r="B1727" s="69">
        <v>88565386520</v>
      </c>
      <c r="C1727" s="15" t="s">
        <v>3898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3899</v>
      </c>
      <c r="B1728" s="67">
        <v>1147816565</v>
      </c>
      <c r="C1728" s="72" t="s">
        <v>3900</v>
      </c>
      <c r="D1728" s="69">
        <v>24692193883</v>
      </c>
      <c r="E1728" s="9">
        <v>262</v>
      </c>
      <c r="F1728" s="25">
        <v>43160</v>
      </c>
      <c r="G1728" s="70" t="s">
        <v>1423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3901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1423</v>
      </c>
      <c r="H1729" s="9"/>
      <c r="I1729" s="8"/>
      <c r="J1729" s="8"/>
      <c r="K1729" s="8"/>
      <c r="L1729" s="9" t="s">
        <v>1542</v>
      </c>
      <c r="M1729" s="8"/>
    </row>
    <row r="1730" spans="1:13" x14ac:dyDescent="0.25">
      <c r="A1730" s="14" t="s">
        <v>3902</v>
      </c>
      <c r="B1730" s="67">
        <v>7039189402</v>
      </c>
      <c r="C1730" s="72" t="s">
        <v>3903</v>
      </c>
      <c r="D1730" s="69">
        <v>5531291558</v>
      </c>
      <c r="E1730" s="9">
        <v>262</v>
      </c>
      <c r="F1730" s="25">
        <v>43160</v>
      </c>
      <c r="G1730" s="70" t="s">
        <v>1423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3904</v>
      </c>
      <c r="B1731" s="67">
        <v>34602647804</v>
      </c>
      <c r="C1731" s="72" t="s">
        <v>3905</v>
      </c>
      <c r="D1731" s="69">
        <v>27640163870</v>
      </c>
      <c r="E1731" s="9">
        <v>229</v>
      </c>
      <c r="F1731" s="25">
        <v>43151</v>
      </c>
      <c r="G1731" s="70" t="s">
        <v>1423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3906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1423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3907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1423</v>
      </c>
      <c r="H1733" s="9"/>
      <c r="I1733" s="8"/>
      <c r="J1733" s="8"/>
      <c r="K1733" s="8"/>
      <c r="L1733" s="9" t="s">
        <v>1906</v>
      </c>
      <c r="M1733" s="8"/>
    </row>
    <row r="1734" spans="1:13" x14ac:dyDescent="0.25">
      <c r="A1734" s="71" t="s">
        <v>3908</v>
      </c>
      <c r="B1734" s="67">
        <v>4656282570</v>
      </c>
      <c r="C1734" s="72" t="s">
        <v>3909</v>
      </c>
      <c r="D1734" s="69">
        <v>85025780578</v>
      </c>
      <c r="E1734" s="9">
        <v>85</v>
      </c>
      <c r="F1734" s="25">
        <v>43109</v>
      </c>
      <c r="G1734" s="70" t="s">
        <v>1423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3910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3911</v>
      </c>
      <c r="B1736" s="67">
        <v>44808773805</v>
      </c>
      <c r="C1736" s="72" t="s">
        <v>3912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3913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1423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3914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3915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1423</v>
      </c>
      <c r="H1739" s="9"/>
      <c r="I1739" s="8"/>
      <c r="J1739" s="8"/>
      <c r="K1739" s="8"/>
      <c r="L1739" s="9" t="s">
        <v>1542</v>
      </c>
      <c r="M1739" s="8"/>
    </row>
    <row r="1740" spans="1:13" x14ac:dyDescent="0.25">
      <c r="A1740" s="71" t="s">
        <v>3916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1437</v>
      </c>
      <c r="H1740" s="9"/>
      <c r="I1740" s="8"/>
      <c r="J1740" s="8"/>
      <c r="K1740" s="8"/>
      <c r="L1740" s="9" t="s">
        <v>1657</v>
      </c>
      <c r="M1740" s="8"/>
    </row>
    <row r="1741" spans="1:13" x14ac:dyDescent="0.25">
      <c r="A1741" s="15" t="s">
        <v>3917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1423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3918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3919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3920</v>
      </c>
      <c r="B1744" s="67">
        <v>19129440491</v>
      </c>
      <c r="C1744" s="72" t="s">
        <v>3921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3922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1423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3923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1423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3924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1423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3925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1423</v>
      </c>
      <c r="H1748" s="9"/>
      <c r="I1748" s="8"/>
      <c r="J1748" s="8"/>
      <c r="K1748" s="8"/>
      <c r="L1748" s="9" t="s">
        <v>1802</v>
      </c>
      <c r="M1748" s="8"/>
    </row>
    <row r="1749" spans="1:13" x14ac:dyDescent="0.25">
      <c r="A1749" s="13" t="s">
        <v>3926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1423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3927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3928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1423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3929</v>
      </c>
      <c r="B1752" s="67">
        <v>15634351871</v>
      </c>
      <c r="C1752" s="72" t="s">
        <v>3930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3931</v>
      </c>
      <c r="B1753" s="67">
        <v>35994306835</v>
      </c>
      <c r="C1753" s="72" t="s">
        <v>3932</v>
      </c>
      <c r="D1753" s="69">
        <v>25021610880</v>
      </c>
      <c r="E1753" s="9">
        <v>262</v>
      </c>
      <c r="F1753" s="25">
        <v>43160</v>
      </c>
      <c r="G1753" s="70" t="s">
        <v>1423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3933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1423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3934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3935</v>
      </c>
      <c r="B1756" s="67">
        <v>32525046854</v>
      </c>
      <c r="C1756" s="29" t="s">
        <v>1533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3936</v>
      </c>
      <c r="B1757" s="67">
        <v>23704553816</v>
      </c>
      <c r="C1757" s="77" t="s">
        <v>3937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1703</v>
      </c>
      <c r="M1757" s="8"/>
    </row>
    <row r="1758" spans="1:13" x14ac:dyDescent="0.25">
      <c r="A1758" s="71" t="s">
        <v>3938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1423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3939</v>
      </c>
      <c r="B1759" s="67">
        <v>3180351543</v>
      </c>
      <c r="C1759" s="72" t="s">
        <v>3940</v>
      </c>
      <c r="D1759" s="69">
        <v>38259838893</v>
      </c>
      <c r="E1759" s="9">
        <v>1752</v>
      </c>
      <c r="F1759" s="25">
        <v>43051</v>
      </c>
      <c r="G1759" s="70" t="s">
        <v>1423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3941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1423</v>
      </c>
      <c r="H1760" s="9"/>
      <c r="I1760" s="8"/>
      <c r="J1760" s="8"/>
      <c r="K1760" s="8"/>
      <c r="L1760" s="9" t="s">
        <v>1542</v>
      </c>
      <c r="M1760" s="8"/>
    </row>
    <row r="1761" spans="1:13" x14ac:dyDescent="0.25">
      <c r="A1761" s="71" t="s">
        <v>3942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1423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3943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3944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1423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3945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1423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3946</v>
      </c>
      <c r="B1765" s="80">
        <v>27034088896</v>
      </c>
      <c r="C1765" s="81" t="s">
        <v>3947</v>
      </c>
      <c r="D1765" s="82">
        <v>31801530831</v>
      </c>
      <c r="E1765" s="47">
        <v>1267</v>
      </c>
      <c r="F1765" s="48">
        <v>42998</v>
      </c>
      <c r="G1765" s="83" t="s">
        <v>1429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3948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3949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3950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1423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3951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1423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3952</v>
      </c>
      <c r="B1770" s="67">
        <v>13035980861</v>
      </c>
      <c r="C1770" s="72" t="s">
        <v>3953</v>
      </c>
      <c r="D1770" s="69">
        <v>60623608553</v>
      </c>
      <c r="E1770" s="9">
        <v>1752</v>
      </c>
      <c r="F1770" s="25">
        <v>43051</v>
      </c>
      <c r="G1770" s="70" t="s">
        <v>1423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3954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3955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1423</v>
      </c>
      <c r="H1772" s="9"/>
      <c r="I1772" s="8"/>
      <c r="J1772" s="8"/>
      <c r="K1772" s="8"/>
      <c r="L1772" s="9" t="s">
        <v>1542</v>
      </c>
      <c r="M1772" s="8"/>
    </row>
    <row r="1773" spans="1:13" x14ac:dyDescent="0.25">
      <c r="A1773" s="29" t="s">
        <v>3956</v>
      </c>
      <c r="B1773" s="67">
        <v>7965453401</v>
      </c>
      <c r="C1773" s="29" t="s">
        <v>3957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3958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1423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3959</v>
      </c>
      <c r="B1775" s="67">
        <v>29335127850</v>
      </c>
      <c r="C1775" s="68" t="s">
        <v>3960</v>
      </c>
      <c r="D1775" s="69">
        <v>18384225877</v>
      </c>
      <c r="E1775" s="9">
        <v>1214</v>
      </c>
      <c r="F1775" s="25">
        <v>42989</v>
      </c>
      <c r="G1775" s="70" t="s">
        <v>1423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3961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1423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3962</v>
      </c>
      <c r="B1777" s="67">
        <v>22530539880</v>
      </c>
      <c r="C1777" s="72" t="s">
        <v>3963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3964</v>
      </c>
      <c r="B1778" s="67">
        <v>22135571873</v>
      </c>
      <c r="C1778" s="72" t="s">
        <v>3965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3966</v>
      </c>
      <c r="B1779" s="67">
        <v>29928831823</v>
      </c>
      <c r="C1779" s="72" t="s">
        <v>3967</v>
      </c>
      <c r="D1779" s="69">
        <v>9500916428</v>
      </c>
      <c r="E1779" s="9">
        <v>810</v>
      </c>
      <c r="F1779" s="25">
        <v>42915</v>
      </c>
      <c r="G1779" s="70" t="s">
        <v>1423</v>
      </c>
      <c r="H1779" s="9"/>
      <c r="I1779" s="8"/>
      <c r="J1779" s="8"/>
      <c r="K1779" s="8"/>
      <c r="L1779" s="9" t="s">
        <v>1542</v>
      </c>
      <c r="M1779" s="8"/>
    </row>
    <row r="1780" spans="1:13" x14ac:dyDescent="0.25">
      <c r="A1780" s="72" t="s">
        <v>3968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3969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1423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3970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3971</v>
      </c>
      <c r="B1783" s="67"/>
      <c r="C1783" s="29" t="s">
        <v>1533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3972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1423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3973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1423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3974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1423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3975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1423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3976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1423</v>
      </c>
      <c r="H1788" s="9"/>
      <c r="I1788" s="8"/>
      <c r="J1788" s="8"/>
      <c r="K1788" s="8"/>
      <c r="L1788" s="9" t="s">
        <v>1542</v>
      </c>
      <c r="M1788" s="8"/>
    </row>
    <row r="1789" spans="1:13" x14ac:dyDescent="0.25">
      <c r="A1789" s="71" t="s">
        <v>3977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1423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3978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1423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3979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1423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3980</v>
      </c>
      <c r="B1792" s="67">
        <v>29652104825</v>
      </c>
      <c r="C1792" s="68" t="s">
        <v>3981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3982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1423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3983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3984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3985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1423</v>
      </c>
      <c r="H1796" s="9"/>
      <c r="I1796" s="8"/>
      <c r="J1796" s="8"/>
      <c r="K1796" s="8"/>
      <c r="L1796" s="9" t="s">
        <v>1906</v>
      </c>
      <c r="M1796" s="8"/>
    </row>
    <row r="1797" spans="1:13" x14ac:dyDescent="0.25">
      <c r="A1797" s="71" t="s">
        <v>3986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1423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3987</v>
      </c>
      <c r="B1798" s="67">
        <v>6896659890</v>
      </c>
      <c r="C1798" s="29" t="s">
        <v>3988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3989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1423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3990</v>
      </c>
      <c r="B1800" s="67">
        <v>60230380506</v>
      </c>
      <c r="C1800" s="72" t="s">
        <v>3991</v>
      </c>
      <c r="D1800" s="69">
        <v>30853536821</v>
      </c>
      <c r="E1800" s="9">
        <v>1570</v>
      </c>
      <c r="F1800" s="25">
        <v>43051</v>
      </c>
      <c r="G1800" s="70" t="s">
        <v>1429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3992</v>
      </c>
      <c r="B1801" s="67">
        <v>44556393817</v>
      </c>
      <c r="C1801" s="72" t="s">
        <v>3993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3994</v>
      </c>
      <c r="B1802" s="67">
        <v>35780076847</v>
      </c>
      <c r="C1802" s="29" t="s">
        <v>3995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3996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1423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3997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1423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3998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3999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4000</v>
      </c>
      <c r="B1807" s="67">
        <v>8265497806</v>
      </c>
      <c r="C1807" s="18" t="s">
        <v>1533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4001</v>
      </c>
      <c r="B1808" s="67">
        <v>27435732877</v>
      </c>
      <c r="C1808" s="29" t="s">
        <v>1533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4002</v>
      </c>
      <c r="B1809" s="67">
        <v>17620421858</v>
      </c>
      <c r="C1809" s="72" t="s">
        <v>4003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4004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1423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4005</v>
      </c>
      <c r="B1811" s="78" t="s">
        <v>4006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4007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1423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4008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4009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4010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1423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4011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1703</v>
      </c>
      <c r="M1816" s="8"/>
    </row>
    <row r="1817" spans="1:13" x14ac:dyDescent="0.25">
      <c r="A1817" s="14" t="s">
        <v>4012</v>
      </c>
      <c r="B1817" s="67">
        <v>24655581883</v>
      </c>
      <c r="C1817" s="72" t="s">
        <v>4013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4014</v>
      </c>
      <c r="B1818" s="67">
        <v>6455171861</v>
      </c>
      <c r="C1818" s="72" t="s">
        <v>4015</v>
      </c>
      <c r="D1818" s="69">
        <v>34375910534</v>
      </c>
      <c r="E1818" s="9">
        <v>1417</v>
      </c>
      <c r="F1818" s="25">
        <v>43017</v>
      </c>
      <c r="G1818" s="70" t="s">
        <v>1423</v>
      </c>
      <c r="H1818" s="9"/>
      <c r="I1818" s="8"/>
      <c r="J1818" s="8"/>
      <c r="K1818" s="8"/>
      <c r="L1818" s="9" t="s">
        <v>1657</v>
      </c>
      <c r="M1818" s="8"/>
    </row>
    <row r="1819" spans="1:13" x14ac:dyDescent="0.25">
      <c r="A1819" s="71" t="s">
        <v>4016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1423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4017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1423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4018</v>
      </c>
      <c r="B1821" s="67">
        <v>16417318850</v>
      </c>
      <c r="C1821" s="72" t="s">
        <v>4019</v>
      </c>
      <c r="D1821" s="69">
        <v>18195940846</v>
      </c>
      <c r="E1821" s="9">
        <v>810</v>
      </c>
      <c r="F1821" s="25">
        <v>42915</v>
      </c>
      <c r="G1821" s="70" t="s">
        <v>1429</v>
      </c>
      <c r="H1821" s="9"/>
      <c r="I1821" s="8"/>
      <c r="J1821" s="8"/>
      <c r="K1821" s="8"/>
      <c r="L1821" s="9" t="s">
        <v>1542</v>
      </c>
      <c r="M1821" s="8"/>
    </row>
    <row r="1822" spans="1:13" x14ac:dyDescent="0.25">
      <c r="A1822" s="14" t="s">
        <v>4020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1423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4021</v>
      </c>
      <c r="B1823" s="67">
        <v>14369207878</v>
      </c>
      <c r="C1823" s="72" t="s">
        <v>4022</v>
      </c>
      <c r="D1823" s="69">
        <v>7358923421</v>
      </c>
      <c r="E1823" s="9">
        <v>292</v>
      </c>
      <c r="F1823" s="25">
        <v>43168</v>
      </c>
      <c r="G1823" s="9" t="s">
        <v>1423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4023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4023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4024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1423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4025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4026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4027</v>
      </c>
      <c r="B1829" s="67" t="s">
        <v>4028</v>
      </c>
      <c r="C1829" s="72" t="s">
        <v>4029</v>
      </c>
      <c r="D1829" s="69">
        <v>43860821822</v>
      </c>
      <c r="E1829" s="9">
        <v>1752</v>
      </c>
      <c r="F1829" s="25">
        <v>43051</v>
      </c>
      <c r="G1829" s="70" t="s">
        <v>1423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4027</v>
      </c>
      <c r="B1830" s="67"/>
      <c r="C1830" s="18" t="s">
        <v>1533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4030</v>
      </c>
      <c r="B1831" s="67">
        <v>32969576856</v>
      </c>
      <c r="C1831" s="72" t="s">
        <v>4031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4032</v>
      </c>
      <c r="B1832" s="67">
        <v>23651706842</v>
      </c>
      <c r="C1832" s="18" t="s">
        <v>4033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4034</v>
      </c>
      <c r="B1833" s="67"/>
      <c r="C1833" s="29" t="s">
        <v>4035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4036</v>
      </c>
      <c r="B1834" s="67">
        <v>24891699809</v>
      </c>
      <c r="C1834" s="72" t="s">
        <v>4037</v>
      </c>
      <c r="D1834" s="69">
        <v>17610300861</v>
      </c>
      <c r="E1834" s="9">
        <v>262</v>
      </c>
      <c r="F1834" s="25">
        <v>43160</v>
      </c>
      <c r="G1834" s="70" t="s">
        <v>1429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4038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1423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4039</v>
      </c>
      <c r="B1836" s="67">
        <v>79465617687</v>
      </c>
      <c r="C1836" s="77" t="s">
        <v>4040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1703</v>
      </c>
      <c r="M1836" s="8"/>
    </row>
    <row r="1837" spans="1:13" x14ac:dyDescent="0.25">
      <c r="A1837" s="29" t="s">
        <v>4041</v>
      </c>
      <c r="B1837" s="67"/>
      <c r="C1837" s="29" t="s">
        <v>1533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4042</v>
      </c>
      <c r="B1838" s="67" t="s">
        <v>4043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4044</v>
      </c>
      <c r="B1839" s="67">
        <v>8545670893</v>
      </c>
      <c r="C1839" s="18" t="s">
        <v>4045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4044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1423</v>
      </c>
      <c r="H1840" s="9"/>
      <c r="I1840" s="8"/>
      <c r="J1840" s="8"/>
      <c r="K1840" s="8"/>
      <c r="L1840" s="9" t="s">
        <v>1542</v>
      </c>
      <c r="M1840" s="8"/>
    </row>
    <row r="1841" spans="1:13" x14ac:dyDescent="0.25">
      <c r="A1841" s="72" t="s">
        <v>4046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4047</v>
      </c>
      <c r="B1842" s="67"/>
      <c r="C1842" s="29" t="s">
        <v>1533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4048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1423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4049</v>
      </c>
      <c r="B1844" s="69">
        <v>84920157487</v>
      </c>
      <c r="C1844" s="71" t="s">
        <v>4050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4051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4052</v>
      </c>
      <c r="B1846" s="67">
        <v>35331745814</v>
      </c>
      <c r="C1846" s="75" t="s">
        <v>4053</v>
      </c>
      <c r="D1846" s="69">
        <v>33184459837</v>
      </c>
      <c r="E1846" s="9">
        <v>1106</v>
      </c>
      <c r="F1846" s="25">
        <v>42965</v>
      </c>
      <c r="G1846" s="70" t="s">
        <v>1423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4054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1423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4055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4056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1423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4057</v>
      </c>
      <c r="B1850" s="67">
        <v>14686278805</v>
      </c>
      <c r="C1850" s="18" t="s">
        <v>1533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4058</v>
      </c>
      <c r="B1851" s="67">
        <v>14857592851</v>
      </c>
      <c r="C1851" s="72" t="s">
        <v>4059</v>
      </c>
      <c r="D1851" s="69">
        <v>35142215885</v>
      </c>
      <c r="E1851" s="9">
        <v>1106</v>
      </c>
      <c r="F1851" s="25">
        <v>42965</v>
      </c>
      <c r="G1851" s="70" t="s">
        <v>1423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4060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1423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4061</v>
      </c>
      <c r="B1853" s="67">
        <v>35714112857</v>
      </c>
      <c r="C1853" s="72" t="s">
        <v>4062</v>
      </c>
      <c r="D1853" s="69">
        <v>32342783850</v>
      </c>
      <c r="E1853" s="9">
        <v>810</v>
      </c>
      <c r="F1853" s="25">
        <v>42915</v>
      </c>
      <c r="G1853" s="70" t="s">
        <v>1423</v>
      </c>
      <c r="H1853" s="9"/>
      <c r="I1853" s="8"/>
      <c r="J1853" s="8"/>
      <c r="K1853" s="8"/>
      <c r="L1853" s="9" t="s">
        <v>1542</v>
      </c>
      <c r="M1853" s="8"/>
    </row>
    <row r="1854" spans="1:13" x14ac:dyDescent="0.25">
      <c r="A1854" s="15" t="s">
        <v>4063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4064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1423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4065</v>
      </c>
      <c r="B1856" s="67">
        <v>22009621859</v>
      </c>
      <c r="C1856" s="72" t="s">
        <v>4066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4067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1423</v>
      </c>
      <c r="H1857" s="9"/>
      <c r="I1857" s="8"/>
      <c r="J1857" s="8"/>
      <c r="K1857" s="8"/>
      <c r="L1857" s="9" t="s">
        <v>1542</v>
      </c>
      <c r="M1857" s="8"/>
    </row>
    <row r="1858" spans="1:13" x14ac:dyDescent="0.25">
      <c r="A1858" s="71" t="s">
        <v>4068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1423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4069</v>
      </c>
      <c r="B1859" s="67">
        <v>32752183879</v>
      </c>
      <c r="C1859" s="72" t="s">
        <v>4070</v>
      </c>
      <c r="D1859" s="69">
        <v>15202346867</v>
      </c>
      <c r="E1859" s="9">
        <v>85</v>
      </c>
      <c r="F1859" s="25">
        <v>43109</v>
      </c>
      <c r="G1859" s="70" t="s">
        <v>1423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4071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4072</v>
      </c>
      <c r="B1861" s="67">
        <v>13622732873</v>
      </c>
      <c r="C1861" s="68"/>
      <c r="D1861" s="69"/>
      <c r="E1861" s="9"/>
      <c r="F1861" s="25"/>
      <c r="G1861" s="70" t="s">
        <v>1423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4073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4074</v>
      </c>
      <c r="B1863" s="67">
        <v>17094778813</v>
      </c>
      <c r="C1863" s="72" t="s">
        <v>4075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4076</v>
      </c>
      <c r="B1864" s="67"/>
      <c r="C1864" s="72" t="s">
        <v>4077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4078</v>
      </c>
      <c r="B1865" s="67">
        <v>43289674878</v>
      </c>
      <c r="C1865" s="72" t="s">
        <v>4079</v>
      </c>
      <c r="D1865" s="69">
        <v>39726735823</v>
      </c>
      <c r="E1865" s="9">
        <v>810</v>
      </c>
      <c r="F1865" s="25">
        <v>42915</v>
      </c>
      <c r="G1865" s="70" t="s">
        <v>1423</v>
      </c>
      <c r="H1865" s="9"/>
      <c r="I1865" s="8"/>
      <c r="J1865" s="8"/>
      <c r="K1865" s="8"/>
      <c r="L1865" s="9" t="s">
        <v>1542</v>
      </c>
      <c r="M1865" s="8"/>
    </row>
    <row r="1866" spans="1:13" x14ac:dyDescent="0.25">
      <c r="A1866" s="29" t="s">
        <v>4080</v>
      </c>
      <c r="B1866" s="67">
        <v>3778856812</v>
      </c>
      <c r="C1866" s="18" t="s">
        <v>1533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4081</v>
      </c>
      <c r="B1867" s="67">
        <v>36074731888</v>
      </c>
      <c r="C1867" s="29" t="s">
        <v>1533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4082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4083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1423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4084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1703</v>
      </c>
      <c r="M1870" s="8"/>
    </row>
    <row r="1871" spans="1:13" x14ac:dyDescent="0.25">
      <c r="A1871" s="71" t="s">
        <v>4085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4086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1423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4087</v>
      </c>
      <c r="B1873" s="67">
        <v>35885861803</v>
      </c>
      <c r="C1873" s="72" t="s">
        <v>4088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4089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4090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1423</v>
      </c>
      <c r="H1875" s="9"/>
      <c r="I1875" s="8"/>
      <c r="J1875" s="8"/>
      <c r="K1875" s="8"/>
      <c r="L1875" s="9" t="s">
        <v>1542</v>
      </c>
      <c r="M1875" s="8"/>
    </row>
    <row r="1876" spans="1:13" x14ac:dyDescent="0.25">
      <c r="A1876" s="13" t="s">
        <v>4091</v>
      </c>
      <c r="B1876" s="67">
        <v>14888258821</v>
      </c>
      <c r="C1876" s="72" t="s">
        <v>4092</v>
      </c>
      <c r="D1876" s="69">
        <v>9173891827</v>
      </c>
      <c r="E1876" s="9">
        <v>229</v>
      </c>
      <c r="F1876" s="25">
        <v>43151</v>
      </c>
      <c r="G1876" s="70" t="s">
        <v>1423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4093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1423</v>
      </c>
      <c r="H1877" s="9"/>
      <c r="I1877" s="8"/>
      <c r="J1877" s="8"/>
      <c r="K1877" s="8"/>
      <c r="L1877" s="9" t="s">
        <v>1906</v>
      </c>
      <c r="M1877" s="8"/>
    </row>
    <row r="1878" spans="1:13" x14ac:dyDescent="0.25">
      <c r="A1878" s="73" t="s">
        <v>4094</v>
      </c>
      <c r="B1878" s="67">
        <v>36238125870</v>
      </c>
      <c r="C1878" s="72" t="s">
        <v>4095</v>
      </c>
      <c r="D1878" s="69">
        <v>44321368391</v>
      </c>
      <c r="E1878" s="9">
        <v>1106</v>
      </c>
      <c r="F1878" s="25">
        <v>42965</v>
      </c>
      <c r="G1878" s="70" t="s">
        <v>1423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4096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1423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4097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4098</v>
      </c>
      <c r="B1881" s="67">
        <v>25970465836</v>
      </c>
      <c r="C1881" s="29" t="s">
        <v>4099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4100</v>
      </c>
      <c r="B1882" s="67">
        <v>26569869825</v>
      </c>
      <c r="C1882" s="15" t="s">
        <v>4101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4102</v>
      </c>
      <c r="B1883" s="67">
        <v>87835053349</v>
      </c>
      <c r="C1883" s="72" t="s">
        <v>4103</v>
      </c>
      <c r="D1883" s="69">
        <v>18172850840</v>
      </c>
      <c r="E1883" s="9">
        <v>1106</v>
      </c>
      <c r="F1883" s="25">
        <v>42965</v>
      </c>
      <c r="G1883" s="70" t="s">
        <v>1423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4104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1703</v>
      </c>
      <c r="M1884" s="8"/>
    </row>
    <row r="1885" spans="1:13" x14ac:dyDescent="0.25">
      <c r="A1885" s="72" t="s">
        <v>4105</v>
      </c>
      <c r="B1885" s="67">
        <v>32747471810</v>
      </c>
      <c r="C1885" s="72" t="s">
        <v>4106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4107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4108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1423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4109</v>
      </c>
      <c r="B1888" s="67">
        <v>31413965822</v>
      </c>
      <c r="C1888" s="72" t="s">
        <v>4110</v>
      </c>
      <c r="D1888" s="69">
        <v>17486425882</v>
      </c>
      <c r="E1888" s="9">
        <v>1106</v>
      </c>
      <c r="F1888" s="25">
        <v>42965</v>
      </c>
      <c r="G1888" s="70" t="s">
        <v>1423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4111</v>
      </c>
      <c r="B1889" s="67">
        <v>35736302861</v>
      </c>
      <c r="C1889" s="72" t="s">
        <v>4112</v>
      </c>
      <c r="D1889" s="69">
        <v>39355200854</v>
      </c>
      <c r="E1889" s="9">
        <v>229</v>
      </c>
      <c r="F1889" s="25">
        <v>43151</v>
      </c>
      <c r="G1889" s="70" t="s">
        <v>1423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4113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1423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4114</v>
      </c>
      <c r="B1891" s="67">
        <v>16364261825</v>
      </c>
      <c r="C1891" s="72" t="s">
        <v>4115</v>
      </c>
      <c r="D1891" s="69">
        <v>3293003427</v>
      </c>
      <c r="E1891" s="9">
        <v>117</v>
      </c>
      <c r="F1891" s="25">
        <v>43117</v>
      </c>
      <c r="G1891" s="70" t="s">
        <v>1423</v>
      </c>
      <c r="H1891" s="9"/>
      <c r="I1891" s="8"/>
      <c r="J1891" s="8"/>
      <c r="K1891" s="8"/>
      <c r="L1891" s="9" t="s">
        <v>1574</v>
      </c>
      <c r="M1891" s="8"/>
    </row>
    <row r="1892" spans="1:13" x14ac:dyDescent="0.25">
      <c r="A1892" s="84" t="s">
        <v>4116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4117</v>
      </c>
      <c r="B1893" s="67">
        <v>33729129856</v>
      </c>
      <c r="C1893" s="72" t="s">
        <v>4118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4119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1423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4120</v>
      </c>
      <c r="B1895" s="67">
        <v>6579182458</v>
      </c>
      <c r="C1895" s="72" t="s">
        <v>4121</v>
      </c>
      <c r="D1895" s="69">
        <v>7424068490</v>
      </c>
      <c r="E1895" s="9">
        <v>810</v>
      </c>
      <c r="F1895" s="25">
        <v>42915</v>
      </c>
      <c r="G1895" s="70" t="s">
        <v>1423</v>
      </c>
      <c r="H1895" s="9"/>
      <c r="I1895" s="8"/>
      <c r="J1895" s="8"/>
      <c r="K1895" s="8"/>
      <c r="L1895" s="9" t="s">
        <v>1542</v>
      </c>
      <c r="M1895" s="8"/>
    </row>
    <row r="1896" spans="1:13" x14ac:dyDescent="0.25">
      <c r="A1896" s="71" t="s">
        <v>4122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4123</v>
      </c>
      <c r="B1897" s="67">
        <v>65195140553</v>
      </c>
      <c r="C1897" s="29" t="s">
        <v>1533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4124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4124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1423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4125</v>
      </c>
      <c r="B1900" s="67">
        <v>17146759806</v>
      </c>
      <c r="C1900" s="72" t="s">
        <v>4126</v>
      </c>
      <c r="D1900" s="69">
        <v>39095494896</v>
      </c>
      <c r="E1900" s="9">
        <v>1262</v>
      </c>
      <c r="F1900" s="25">
        <v>42997</v>
      </c>
      <c r="G1900" s="70" t="s">
        <v>1429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4127</v>
      </c>
      <c r="B1901" s="67">
        <v>3893020403</v>
      </c>
      <c r="C1901" s="68" t="s">
        <v>4128</v>
      </c>
      <c r="D1901" s="69">
        <v>31615704809</v>
      </c>
      <c r="E1901" s="9">
        <v>1128</v>
      </c>
      <c r="F1901" s="25">
        <v>42972</v>
      </c>
      <c r="G1901" s="70" t="s">
        <v>1423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4129</v>
      </c>
      <c r="B1902" s="67">
        <v>70116695404</v>
      </c>
      <c r="C1902" s="72" t="s">
        <v>4130</v>
      </c>
      <c r="D1902" s="69">
        <v>66319943491</v>
      </c>
      <c r="E1902" s="9">
        <v>1106</v>
      </c>
      <c r="F1902" s="25">
        <v>42965</v>
      </c>
      <c r="G1902" s="70" t="s">
        <v>1423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4131</v>
      </c>
      <c r="B1903" s="67"/>
      <c r="C1903" s="29" t="s">
        <v>4132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4133</v>
      </c>
      <c r="B1904" s="67"/>
      <c r="C1904" s="29" t="s">
        <v>1533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4134</v>
      </c>
      <c r="B1905" s="67"/>
      <c r="C1905" s="29" t="s">
        <v>4135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4136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1423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4137</v>
      </c>
      <c r="B1907" s="67">
        <v>6936214436</v>
      </c>
      <c r="C1907" s="72" t="s">
        <v>4138</v>
      </c>
      <c r="D1907" s="69">
        <v>8583452423</v>
      </c>
      <c r="E1907" s="9">
        <v>85</v>
      </c>
      <c r="F1907" s="25">
        <v>43109</v>
      </c>
      <c r="G1907" s="70" t="s">
        <v>1423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4139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1423</v>
      </c>
      <c r="H1908" s="9"/>
      <c r="I1908" s="8"/>
      <c r="J1908" s="8"/>
      <c r="K1908" s="8"/>
      <c r="L1908" s="9" t="s">
        <v>1542</v>
      </c>
      <c r="M1908" s="8"/>
    </row>
    <row r="1909" spans="1:13" x14ac:dyDescent="0.25">
      <c r="A1909" s="15" t="s">
        <v>4140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1423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4141</v>
      </c>
      <c r="B1910" s="67">
        <v>35264817847</v>
      </c>
      <c r="C1910" s="29" t="s">
        <v>1533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4142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4143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1423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4144</v>
      </c>
      <c r="B1913" s="67">
        <v>90046226591</v>
      </c>
      <c r="C1913" s="72" t="s">
        <v>4145</v>
      </c>
      <c r="D1913" s="69">
        <v>74829505591</v>
      </c>
      <c r="E1913" s="9">
        <v>262</v>
      </c>
      <c r="F1913" s="25">
        <v>43160</v>
      </c>
      <c r="G1913" s="9" t="s">
        <v>1423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4146</v>
      </c>
      <c r="B1914" s="67">
        <v>29871369867</v>
      </c>
      <c r="C1914" s="72" t="s">
        <v>4147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4148</v>
      </c>
      <c r="B1915" s="67">
        <v>26681571883</v>
      </c>
      <c r="C1915" s="71" t="s">
        <v>4149</v>
      </c>
      <c r="D1915" s="69">
        <v>18465693897</v>
      </c>
      <c r="E1915" s="9">
        <v>292</v>
      </c>
      <c r="F1915" s="25">
        <v>43168</v>
      </c>
      <c r="G1915" s="70" t="s">
        <v>1423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4150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4151</v>
      </c>
      <c r="B1917" s="67">
        <v>26526680801</v>
      </c>
      <c r="C1917" s="68" t="s">
        <v>4152</v>
      </c>
      <c r="D1917" s="69">
        <v>7117205631</v>
      </c>
      <c r="E1917" s="9">
        <v>1128</v>
      </c>
      <c r="F1917" s="25">
        <v>42972</v>
      </c>
      <c r="G1917" s="70" t="s">
        <v>1423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4153</v>
      </c>
      <c r="B1918" s="67">
        <v>67285902420</v>
      </c>
      <c r="C1918" s="72" t="s">
        <v>2921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1703</v>
      </c>
      <c r="M1918" s="8"/>
    </row>
    <row r="1919" spans="1:13" x14ac:dyDescent="0.25">
      <c r="A1919" s="29" t="s">
        <v>4154</v>
      </c>
      <c r="B1919" s="67"/>
      <c r="C1919" s="18" t="s">
        <v>1533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4155</v>
      </c>
      <c r="B1920" s="67">
        <v>1097111490</v>
      </c>
      <c r="C1920" s="77" t="s">
        <v>4156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1703</v>
      </c>
      <c r="M1920" s="8"/>
    </row>
    <row r="1921" spans="1:13" x14ac:dyDescent="0.25">
      <c r="A1921" s="71" t="s">
        <v>4157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1423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4158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1423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4159</v>
      </c>
      <c r="B1923" s="67">
        <v>16756911856</v>
      </c>
      <c r="C1923" s="72" t="s">
        <v>4160</v>
      </c>
      <c r="D1923" s="69">
        <v>10411415808</v>
      </c>
      <c r="E1923" s="9">
        <v>1752</v>
      </c>
      <c r="F1923" s="25">
        <v>43051</v>
      </c>
      <c r="G1923" s="70" t="s">
        <v>1423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4161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4162</v>
      </c>
      <c r="B1925" s="67"/>
      <c r="C1925" s="72" t="s">
        <v>4163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4164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1429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4165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4166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1423</v>
      </c>
      <c r="H1928" s="9"/>
      <c r="I1928" s="8"/>
      <c r="J1928" s="8"/>
      <c r="K1928" s="8"/>
      <c r="L1928" s="9" t="s">
        <v>1906</v>
      </c>
      <c r="M1928" s="8"/>
    </row>
    <row r="1929" spans="1:13" x14ac:dyDescent="0.25">
      <c r="A1929" s="29" t="s">
        <v>4167</v>
      </c>
      <c r="B1929" s="67"/>
      <c r="C1929" s="29" t="s">
        <v>1533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4168</v>
      </c>
      <c r="B1930" s="67"/>
      <c r="C1930" s="29" t="s">
        <v>4169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4170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1423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4171</v>
      </c>
      <c r="B1932" s="67">
        <v>30900118830</v>
      </c>
      <c r="C1932" s="72" t="s">
        <v>4172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4173</v>
      </c>
      <c r="B1933" s="67">
        <v>64217299400</v>
      </c>
      <c r="C1933" s="18" t="s">
        <v>4174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4175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4176</v>
      </c>
      <c r="B1935" s="67">
        <v>95875409487</v>
      </c>
      <c r="C1935" s="72" t="s">
        <v>4177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4178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4179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1423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4180</v>
      </c>
      <c r="B1938" s="67">
        <v>26655730325</v>
      </c>
      <c r="C1938" s="72" t="s">
        <v>4181</v>
      </c>
      <c r="D1938" s="69">
        <v>59222891520</v>
      </c>
      <c r="E1938" s="9">
        <v>262</v>
      </c>
      <c r="F1938" s="25">
        <v>43160</v>
      </c>
      <c r="G1938" s="70" t="s">
        <v>1423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4182</v>
      </c>
      <c r="B1939" s="67">
        <v>15696788807</v>
      </c>
      <c r="C1939" s="72" t="s">
        <v>4183</v>
      </c>
      <c r="D1939" s="69">
        <v>4231184801</v>
      </c>
      <c r="E1939" s="9">
        <v>1555</v>
      </c>
      <c r="F1939" s="25">
        <v>43049</v>
      </c>
      <c r="G1939" s="70" t="s">
        <v>1423</v>
      </c>
      <c r="H1939" s="9"/>
      <c r="I1939" s="8"/>
      <c r="J1939" s="8"/>
      <c r="K1939" s="8"/>
      <c r="L1939" s="9" t="s">
        <v>1802</v>
      </c>
      <c r="M1939" s="8"/>
    </row>
    <row r="1940" spans="1:13" x14ac:dyDescent="0.25">
      <c r="A1940" s="71" t="s">
        <v>4184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1429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4185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1423</v>
      </c>
      <c r="H1941" s="9"/>
      <c r="I1941" s="8"/>
      <c r="J1941" s="8"/>
      <c r="K1941" s="8"/>
      <c r="L1941" s="9" t="s">
        <v>1574</v>
      </c>
      <c r="M1941" s="8"/>
    </row>
    <row r="1942" spans="1:13" x14ac:dyDescent="0.25">
      <c r="A1942" s="71" t="s">
        <v>4186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1423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4187</v>
      </c>
      <c r="B1943" s="67">
        <v>1280254688</v>
      </c>
      <c r="C1943" s="72" t="s">
        <v>4188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4189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1423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4190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4191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4192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1423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4193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4193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1423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4193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1423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4194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4195</v>
      </c>
      <c r="B1952" s="67">
        <v>33635659843</v>
      </c>
      <c r="C1952" s="29" t="s">
        <v>4196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4197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1423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4197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1703</v>
      </c>
      <c r="M1954" s="8"/>
    </row>
    <row r="1955" spans="1:13" x14ac:dyDescent="0.25">
      <c r="A1955" s="71" t="s">
        <v>4198</v>
      </c>
      <c r="B1955" s="67">
        <v>36841231880</v>
      </c>
      <c r="C1955" s="77" t="s">
        <v>4199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4200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1423</v>
      </c>
      <c r="H1956" s="9"/>
      <c r="I1956" s="8"/>
      <c r="J1956" s="8"/>
      <c r="K1956" s="8"/>
      <c r="L1956" s="9" t="s">
        <v>1564</v>
      </c>
      <c r="M1956" s="8"/>
    </row>
    <row r="1957" spans="1:13" x14ac:dyDescent="0.25">
      <c r="A1957" s="29" t="s">
        <v>4201</v>
      </c>
      <c r="B1957" s="67"/>
      <c r="C1957" s="29" t="s">
        <v>1533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4202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1423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4203</v>
      </c>
      <c r="B1959" s="67"/>
      <c r="C1959" s="29" t="s">
        <v>4204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4205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4206</v>
      </c>
      <c r="B1961" s="67">
        <v>64404714734</v>
      </c>
      <c r="C1961" s="29" t="s">
        <v>4207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4208</v>
      </c>
      <c r="B1962" s="67">
        <v>29783527878</v>
      </c>
      <c r="C1962" s="29" t="s">
        <v>4209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4210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1423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4211</v>
      </c>
      <c r="B1964" s="67">
        <v>70155356372</v>
      </c>
      <c r="C1964" s="18" t="s">
        <v>4212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4213</v>
      </c>
      <c r="B1965" s="67">
        <v>4350125337</v>
      </c>
      <c r="C1965" s="72" t="s">
        <v>4214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4215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1437</v>
      </c>
      <c r="H1966" s="9"/>
      <c r="I1966" s="8"/>
      <c r="J1966" s="8"/>
      <c r="K1966" s="8"/>
      <c r="L1966" s="9" t="s">
        <v>1657</v>
      </c>
      <c r="M1966" s="8"/>
    </row>
    <row r="1967" spans="1:13" x14ac:dyDescent="0.25">
      <c r="A1967" s="72" t="s">
        <v>4216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1423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4217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4218</v>
      </c>
      <c r="B1969" s="67"/>
      <c r="C1969" s="29" t="s">
        <v>1533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4219</v>
      </c>
      <c r="B1970" s="67">
        <v>49628474812</v>
      </c>
      <c r="C1970" s="72" t="s">
        <v>4220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4221</v>
      </c>
      <c r="B1971" s="67">
        <v>37473032852</v>
      </c>
      <c r="C1971" s="72" t="s">
        <v>4222</v>
      </c>
      <c r="D1971" s="69">
        <v>21894541820</v>
      </c>
      <c r="E1971" s="9">
        <v>1824</v>
      </c>
      <c r="F1971" s="25">
        <v>43091</v>
      </c>
      <c r="G1971" s="70" t="s">
        <v>1437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4223</v>
      </c>
      <c r="B1972" s="67">
        <v>36383878875</v>
      </c>
      <c r="C1972" s="72" t="s">
        <v>4224</v>
      </c>
      <c r="D1972" s="69">
        <v>39907872849</v>
      </c>
      <c r="E1972" s="9">
        <v>117</v>
      </c>
      <c r="F1972" s="25">
        <v>43117</v>
      </c>
      <c r="G1972" s="70" t="s">
        <v>1429</v>
      </c>
      <c r="H1972" s="9"/>
      <c r="I1972" s="8"/>
      <c r="J1972" s="8"/>
      <c r="K1972" s="8"/>
      <c r="L1972" s="9" t="s">
        <v>1574</v>
      </c>
      <c r="M1972" s="8"/>
    </row>
    <row r="1973" spans="1:13" x14ac:dyDescent="0.25">
      <c r="A1973" s="71" t="s">
        <v>4225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1423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4226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1423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4226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1423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4226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1423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4227</v>
      </c>
      <c r="B1977" s="80">
        <v>87102331487</v>
      </c>
      <c r="C1977" s="81" t="s">
        <v>4228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1542</v>
      </c>
      <c r="M1977" s="49"/>
    </row>
    <row r="1978" spans="1:13" x14ac:dyDescent="0.25">
      <c r="A1978" s="15" t="s">
        <v>4229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1423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4230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1423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4231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1423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4232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1423</v>
      </c>
      <c r="H1981" s="9"/>
      <c r="I1981" s="8"/>
      <c r="J1981" s="8"/>
      <c r="K1981" s="8"/>
      <c r="L1981" s="9" t="s">
        <v>1574</v>
      </c>
      <c r="M1981" s="8"/>
    </row>
    <row r="1982" spans="1:13" x14ac:dyDescent="0.25">
      <c r="A1982" s="71" t="s">
        <v>4233</v>
      </c>
      <c r="B1982" s="67">
        <v>18360384886</v>
      </c>
      <c r="C1982" s="72" t="s">
        <v>4234</v>
      </c>
      <c r="D1982" s="69">
        <v>28828648848</v>
      </c>
      <c r="E1982" s="9">
        <v>1214</v>
      </c>
      <c r="F1982" s="25">
        <v>42989</v>
      </c>
      <c r="G1982" s="70" t="s">
        <v>1423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4235</v>
      </c>
      <c r="B1983" s="67">
        <v>8224204812</v>
      </c>
      <c r="C1983" s="72" t="s">
        <v>4236</v>
      </c>
      <c r="D1983" s="69">
        <v>5373139823</v>
      </c>
      <c r="E1983" s="9">
        <v>1752</v>
      </c>
      <c r="F1983" s="25">
        <v>43051</v>
      </c>
      <c r="G1983" s="70" t="s">
        <v>1423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4237</v>
      </c>
      <c r="B1984" s="67">
        <v>61232386200</v>
      </c>
      <c r="C1984" s="72" t="s">
        <v>4238</v>
      </c>
      <c r="D1984" s="69">
        <v>30971900310</v>
      </c>
      <c r="E1984" s="9">
        <v>1267</v>
      </c>
      <c r="F1984" s="25">
        <v>42998</v>
      </c>
      <c r="G1984" s="70" t="s">
        <v>1423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4239</v>
      </c>
      <c r="B1985" s="67">
        <v>68688210420</v>
      </c>
      <c r="C1985" s="32" t="s">
        <v>4240</v>
      </c>
      <c r="D1985" s="69">
        <v>3241531805</v>
      </c>
      <c r="E1985" s="9">
        <v>1570</v>
      </c>
      <c r="F1985" s="25">
        <v>43077</v>
      </c>
      <c r="G1985" s="70" t="s">
        <v>1423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4241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1423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4242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1423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4243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4244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1423</v>
      </c>
      <c r="H1989" s="9"/>
      <c r="I1989" s="8"/>
      <c r="J1989" s="8"/>
      <c r="K1989" s="8"/>
      <c r="L1989" s="9" t="s">
        <v>1542</v>
      </c>
      <c r="M1989" s="8"/>
    </row>
    <row r="1990" spans="1:13" x14ac:dyDescent="0.25">
      <c r="A1990" s="71" t="s">
        <v>4245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1423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4246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4247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4248</v>
      </c>
      <c r="B1993" s="67">
        <v>22566146896</v>
      </c>
      <c r="C1993" s="72" t="s">
        <v>4249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4250</v>
      </c>
      <c r="B1994" s="67">
        <v>27957199836</v>
      </c>
      <c r="C1994" s="72" t="s">
        <v>4251</v>
      </c>
      <c r="D1994" s="69">
        <v>14369564808</v>
      </c>
      <c r="E1994" s="9">
        <v>292</v>
      </c>
      <c r="F1994" s="25">
        <v>43168</v>
      </c>
      <c r="G1994" s="70" t="s">
        <v>1423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4252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1423</v>
      </c>
      <c r="H1995" s="9"/>
      <c r="I1995" s="8"/>
      <c r="J1995" s="8"/>
      <c r="K1995" s="8"/>
      <c r="L1995" s="9" t="s">
        <v>1802</v>
      </c>
      <c r="M1995" s="8"/>
    </row>
    <row r="1996" spans="1:13" x14ac:dyDescent="0.25">
      <c r="A1996" s="18" t="s">
        <v>4253</v>
      </c>
      <c r="B1996" s="67"/>
      <c r="C1996" s="18" t="s">
        <v>4254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4255</v>
      </c>
      <c r="B1997" s="67">
        <v>12723195805</v>
      </c>
      <c r="C1997" s="72" t="s">
        <v>4256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4257</v>
      </c>
      <c r="B1998" s="67">
        <v>15731373833</v>
      </c>
      <c r="C1998" s="75" t="s">
        <v>4258</v>
      </c>
      <c r="D1998" s="69">
        <v>12858074801</v>
      </c>
      <c r="E1998" s="9">
        <v>1106</v>
      </c>
      <c r="F1998" s="25">
        <v>42965</v>
      </c>
      <c r="G1998" s="70" t="s">
        <v>1429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4259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1423</v>
      </c>
      <c r="H1999" s="9"/>
      <c r="I1999" s="8"/>
      <c r="J1999" s="8"/>
      <c r="K1999" s="8"/>
      <c r="L1999" s="9" t="s">
        <v>1542</v>
      </c>
      <c r="M1999" s="8"/>
    </row>
    <row r="2000" spans="1:13" x14ac:dyDescent="0.25">
      <c r="A2000" s="71" t="s">
        <v>4260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4261</v>
      </c>
      <c r="B2001" s="67">
        <v>38402878806</v>
      </c>
      <c r="C2001" s="72" t="s">
        <v>4262</v>
      </c>
      <c r="D2001" s="69">
        <v>23700547862</v>
      </c>
      <c r="E2001" s="9">
        <v>262</v>
      </c>
      <c r="F2001" s="25">
        <v>43160</v>
      </c>
      <c r="G2001" s="9" t="s">
        <v>1423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4263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4264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4265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4266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4267</v>
      </c>
      <c r="B2006" s="67">
        <v>27023833862</v>
      </c>
      <c r="C2006" s="29" t="s">
        <v>4268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4269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4270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1423</v>
      </c>
      <c r="H2008" s="9"/>
      <c r="I2008" s="8"/>
      <c r="J2008" s="8"/>
      <c r="K2008" s="8"/>
      <c r="L2008" s="9" t="s">
        <v>1574</v>
      </c>
      <c r="M2008" s="8"/>
    </row>
    <row r="2009" spans="1:13" x14ac:dyDescent="0.25">
      <c r="A2009" s="71" t="s">
        <v>4271</v>
      </c>
      <c r="B2009" s="67">
        <v>38815800344</v>
      </c>
      <c r="C2009" s="72" t="s">
        <v>4272</v>
      </c>
      <c r="D2009" s="69">
        <v>39085252334</v>
      </c>
      <c r="E2009" s="9">
        <v>85</v>
      </c>
      <c r="F2009" s="25">
        <v>43109</v>
      </c>
      <c r="G2009" s="70" t="s">
        <v>1423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4273</v>
      </c>
      <c r="B2010" s="67">
        <v>36154299826</v>
      </c>
      <c r="C2010" s="72" t="s">
        <v>4274</v>
      </c>
      <c r="D2010" s="69">
        <v>34489273843</v>
      </c>
      <c r="E2010" s="9">
        <v>1267</v>
      </c>
      <c r="F2010" s="25">
        <v>42998</v>
      </c>
      <c r="G2010" s="70" t="s">
        <v>1429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4275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1423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4276</v>
      </c>
      <c r="B2012" s="67"/>
      <c r="C2012" s="18" t="s">
        <v>1533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4277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4278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1423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4279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1423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4280</v>
      </c>
      <c r="B2016" s="67">
        <v>64174182434</v>
      </c>
      <c r="C2016" s="72" t="s">
        <v>4281</v>
      </c>
      <c r="D2016" s="69">
        <v>98105183587</v>
      </c>
      <c r="E2016" s="9">
        <v>262</v>
      </c>
      <c r="F2016" s="25">
        <v>43160</v>
      </c>
      <c r="G2016" s="70" t="s">
        <v>1423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4282</v>
      </c>
      <c r="B2017" s="67">
        <v>4148505485</v>
      </c>
      <c r="C2017" s="29" t="s">
        <v>4283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4284</v>
      </c>
      <c r="B2018" s="67">
        <v>39364828372</v>
      </c>
      <c r="C2018" s="72" t="s">
        <v>4285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4286</v>
      </c>
      <c r="B2019" s="67">
        <v>82046042468</v>
      </c>
      <c r="C2019" s="72" t="s">
        <v>4287</v>
      </c>
      <c r="D2019" s="69">
        <v>88251098491</v>
      </c>
      <c r="E2019" s="9">
        <v>85</v>
      </c>
      <c r="F2019" s="25">
        <v>43109</v>
      </c>
      <c r="G2019" s="70" t="s">
        <v>1423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4288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1423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4289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1423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4290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1423</v>
      </c>
      <c r="H2022" s="9"/>
      <c r="I2022" s="8"/>
      <c r="J2022" s="8"/>
      <c r="K2022" s="8"/>
      <c r="L2022" s="9" t="s">
        <v>1657</v>
      </c>
      <c r="M2022" s="8"/>
    </row>
    <row r="2023" spans="1:13" x14ac:dyDescent="0.25">
      <c r="A2023" s="72" t="s">
        <v>4291</v>
      </c>
      <c r="B2023" s="67">
        <v>37806851836</v>
      </c>
      <c r="C2023" s="72" t="s">
        <v>4292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4293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4294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4295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4296</v>
      </c>
      <c r="B2027" s="67">
        <v>27506021811</v>
      </c>
      <c r="C2027" s="72" t="s">
        <v>4297</v>
      </c>
      <c r="D2027" s="69">
        <v>13130281851</v>
      </c>
      <c r="E2027" s="9">
        <v>810</v>
      </c>
      <c r="F2027" s="25">
        <v>42915</v>
      </c>
      <c r="G2027" s="70" t="s">
        <v>1423</v>
      </c>
      <c r="H2027" s="9"/>
      <c r="I2027" s="8"/>
      <c r="J2027" s="8"/>
      <c r="K2027" s="8"/>
      <c r="L2027" s="9" t="s">
        <v>1542</v>
      </c>
      <c r="M2027" s="8"/>
    </row>
    <row r="2028" spans="1:13" x14ac:dyDescent="0.25">
      <c r="A2028" s="15" t="s">
        <v>4298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1423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4299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1423</v>
      </c>
      <c r="H2029" s="9"/>
      <c r="I2029" s="8"/>
      <c r="J2029" s="8"/>
      <c r="K2029" s="8"/>
      <c r="L2029" s="9" t="s">
        <v>1657</v>
      </c>
      <c r="M2029" s="8"/>
    </row>
    <row r="2030" spans="1:13" x14ac:dyDescent="0.25">
      <c r="A2030" s="15" t="s">
        <v>4300</v>
      </c>
      <c r="B2030" s="67">
        <v>660919346</v>
      </c>
      <c r="C2030" s="72" t="s">
        <v>4301</v>
      </c>
      <c r="D2030" s="69">
        <v>296516384</v>
      </c>
      <c r="E2030" s="9">
        <v>262</v>
      </c>
      <c r="F2030" s="25">
        <v>43160</v>
      </c>
      <c r="G2030" s="70" t="s">
        <v>1429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4302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1423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4303</v>
      </c>
      <c r="B2032" s="67">
        <v>55075746500</v>
      </c>
      <c r="C2032" s="72" t="s">
        <v>4304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4305</v>
      </c>
      <c r="B2033" s="67">
        <v>34549590807</v>
      </c>
      <c r="C2033" s="72" t="s">
        <v>4306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4307</v>
      </c>
      <c r="B2034" s="67"/>
      <c r="C2034" s="18" t="s">
        <v>1533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4308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4309</v>
      </c>
      <c r="B2036" s="67">
        <v>41292199873</v>
      </c>
      <c r="C2036" s="72" t="s">
        <v>4310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4311</v>
      </c>
      <c r="B2037" s="67"/>
      <c r="C2037" s="29" t="s">
        <v>1533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4312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4313</v>
      </c>
      <c r="B2039" s="67">
        <v>42318039860</v>
      </c>
      <c r="C2039" s="72" t="s">
        <v>4314</v>
      </c>
      <c r="D2039" s="69">
        <v>23059375801</v>
      </c>
      <c r="E2039" s="9">
        <v>85</v>
      </c>
      <c r="F2039" s="25">
        <v>43109</v>
      </c>
      <c r="G2039" s="70" t="s">
        <v>1423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4315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1423</v>
      </c>
      <c r="H2040" s="9"/>
      <c r="I2040" s="8"/>
      <c r="J2040" s="8"/>
      <c r="K2040" s="8"/>
      <c r="L2040" s="9" t="s">
        <v>1542</v>
      </c>
      <c r="M2040" s="8"/>
    </row>
    <row r="2041" spans="1:13" x14ac:dyDescent="0.25">
      <c r="A2041" s="71" t="s">
        <v>4316</v>
      </c>
      <c r="B2041" s="67">
        <v>2693234573</v>
      </c>
      <c r="C2041" s="71" t="s">
        <v>4317</v>
      </c>
      <c r="D2041" s="69">
        <v>36131987890</v>
      </c>
      <c r="E2041" s="9">
        <v>292</v>
      </c>
      <c r="F2041" s="25">
        <v>43168</v>
      </c>
      <c r="G2041" s="9" t="s">
        <v>1423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4318</v>
      </c>
      <c r="B2042" s="67">
        <v>19677621807</v>
      </c>
      <c r="C2042" s="72" t="s">
        <v>4319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4320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1423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4321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4322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1423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4323</v>
      </c>
      <c r="B2046" s="67">
        <v>22583603825</v>
      </c>
      <c r="C2046" s="72" t="s">
        <v>4324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4325</v>
      </c>
      <c r="B2047" s="67">
        <v>14858077861</v>
      </c>
      <c r="C2047" s="15" t="s">
        <v>4326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4327</v>
      </c>
      <c r="B2048" s="67">
        <v>32291860879</v>
      </c>
      <c r="C2048" s="29" t="s">
        <v>4328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4329</v>
      </c>
      <c r="B2049" s="67">
        <v>76396126320</v>
      </c>
      <c r="C2049" s="72" t="s">
        <v>4330</v>
      </c>
      <c r="D2049" s="69">
        <v>62133390510</v>
      </c>
      <c r="E2049" s="9">
        <v>1262</v>
      </c>
      <c r="F2049" s="25">
        <v>42997</v>
      </c>
      <c r="G2049" s="70" t="s">
        <v>1423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4331</v>
      </c>
      <c r="B2050" s="67">
        <v>34303186880</v>
      </c>
      <c r="C2050" s="72" t="s">
        <v>4332</v>
      </c>
      <c r="D2050" s="69">
        <v>39695431852</v>
      </c>
      <c r="E2050" s="9">
        <v>1570</v>
      </c>
      <c r="F2050" s="25">
        <v>43077</v>
      </c>
      <c r="G2050" s="70" t="s">
        <v>1423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4333</v>
      </c>
      <c r="B2051" s="67">
        <v>14331980880</v>
      </c>
      <c r="C2051" s="8" t="s">
        <v>4334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4333</v>
      </c>
      <c r="B2052" s="67">
        <v>14331980880</v>
      </c>
      <c r="C2052" s="77" t="s">
        <v>4334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4335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4336</v>
      </c>
      <c r="B2054" s="67"/>
      <c r="C2054" s="29" t="s">
        <v>4337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4338</v>
      </c>
      <c r="B2055" s="67">
        <v>31662836848</v>
      </c>
      <c r="C2055" s="72" t="s">
        <v>4339</v>
      </c>
      <c r="D2055" s="69">
        <v>12871784809</v>
      </c>
      <c r="E2055" s="9">
        <v>1570</v>
      </c>
      <c r="F2055" s="25">
        <v>43077</v>
      </c>
      <c r="G2055" s="70" t="s">
        <v>1423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4340</v>
      </c>
      <c r="B2056" s="67">
        <v>39000389372</v>
      </c>
      <c r="C2056" s="72" t="s">
        <v>4341</v>
      </c>
      <c r="D2056" s="69">
        <v>14683732858</v>
      </c>
      <c r="E2056" s="9">
        <v>1417</v>
      </c>
      <c r="F2056" s="25">
        <v>43017</v>
      </c>
      <c r="G2056" s="70" t="s">
        <v>1423</v>
      </c>
      <c r="H2056" s="9"/>
      <c r="I2056" s="8"/>
      <c r="J2056" s="8"/>
      <c r="K2056" s="8"/>
      <c r="L2056" s="9" t="s">
        <v>1657</v>
      </c>
      <c r="M2056" s="8"/>
    </row>
    <row r="2057" spans="1:13" x14ac:dyDescent="0.25">
      <c r="A2057" s="18" t="s">
        <v>4342</v>
      </c>
      <c r="B2057" s="67">
        <v>10349044856</v>
      </c>
      <c r="C2057" s="18" t="s">
        <v>3613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4343</v>
      </c>
      <c r="B2058" s="67">
        <v>25058845873</v>
      </c>
      <c r="C2058" s="71" t="s">
        <v>4344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4345</v>
      </c>
      <c r="B2059" s="67"/>
      <c r="C2059" s="29" t="s">
        <v>4346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4347</v>
      </c>
      <c r="B2060" s="67">
        <v>5088717431</v>
      </c>
      <c r="C2060" s="72" t="s">
        <v>4348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1703</v>
      </c>
      <c r="M2060" s="8"/>
    </row>
    <row r="2061" spans="1:13" x14ac:dyDescent="0.25">
      <c r="A2061" s="13" t="s">
        <v>4349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1423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4350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4351</v>
      </c>
      <c r="B2063" s="67">
        <v>33517044881</v>
      </c>
      <c r="C2063" s="72" t="s">
        <v>4352</v>
      </c>
      <c r="D2063" s="69">
        <v>28076571847</v>
      </c>
      <c r="E2063" s="9">
        <v>85</v>
      </c>
      <c r="F2063" s="25">
        <v>43109</v>
      </c>
      <c r="G2063" s="93" t="s">
        <v>1429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4353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1423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4354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4355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1423</v>
      </c>
      <c r="H2066" s="9"/>
      <c r="I2066" s="8"/>
      <c r="J2066" s="8"/>
      <c r="K2066" s="8"/>
      <c r="L2066" s="9" t="s">
        <v>1802</v>
      </c>
      <c r="M2066" s="8"/>
    </row>
    <row r="2067" spans="1:13" x14ac:dyDescent="0.25">
      <c r="A2067" s="71" t="s">
        <v>4356</v>
      </c>
      <c r="B2067" s="67">
        <v>16488724843</v>
      </c>
      <c r="C2067" s="73" t="s">
        <v>4357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4358</v>
      </c>
      <c r="B2068" s="67">
        <v>22230898876</v>
      </c>
      <c r="C2068" s="18" t="s">
        <v>1533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4359</v>
      </c>
      <c r="B2069" s="67">
        <v>1218219866</v>
      </c>
      <c r="C2069" s="18" t="s">
        <v>1533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4360</v>
      </c>
      <c r="B2070" s="67">
        <v>75696312772</v>
      </c>
      <c r="C2070" s="77" t="s">
        <v>4361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4362</v>
      </c>
      <c r="B2071" s="67">
        <v>12772099873</v>
      </c>
      <c r="C2071" s="29" t="s">
        <v>4363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4364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1703</v>
      </c>
      <c r="M2072" s="8"/>
    </row>
    <row r="2073" spans="1:13" x14ac:dyDescent="0.25">
      <c r="A2073" s="18" t="s">
        <v>1821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1821</v>
      </c>
      <c r="B2074" s="67">
        <v>40312801491</v>
      </c>
      <c r="C2074" s="72" t="s">
        <v>4365</v>
      </c>
      <c r="D2074" s="69">
        <v>36270235823</v>
      </c>
      <c r="E2074" s="9">
        <v>810</v>
      </c>
      <c r="F2074" s="25">
        <v>42915</v>
      </c>
      <c r="G2074" s="70" t="s">
        <v>1423</v>
      </c>
      <c r="H2074" s="9"/>
      <c r="I2074" s="8"/>
      <c r="J2074" s="8"/>
      <c r="K2074" s="8"/>
      <c r="L2074" s="9" t="s">
        <v>1542</v>
      </c>
      <c r="M2074" s="8"/>
    </row>
    <row r="2075" spans="1:13" x14ac:dyDescent="0.25">
      <c r="A2075" s="71" t="s">
        <v>1821</v>
      </c>
      <c r="B2075" s="67">
        <v>13016641895</v>
      </c>
      <c r="C2075" s="72" t="s">
        <v>4366</v>
      </c>
      <c r="D2075" s="69">
        <v>2681565731</v>
      </c>
      <c r="E2075" s="9">
        <v>810</v>
      </c>
      <c r="F2075" s="25">
        <v>42915</v>
      </c>
      <c r="G2075" s="70" t="s">
        <v>1423</v>
      </c>
      <c r="H2075" s="9"/>
      <c r="I2075" s="8"/>
      <c r="J2075" s="8"/>
      <c r="K2075" s="8"/>
      <c r="L2075" s="9" t="s">
        <v>1542</v>
      </c>
      <c r="M2075" s="8"/>
    </row>
    <row r="2076" spans="1:13" x14ac:dyDescent="0.25">
      <c r="A2076" s="71" t="s">
        <v>4367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4368</v>
      </c>
      <c r="B2077" s="67">
        <v>18472653838</v>
      </c>
      <c r="C2077" s="72" t="s">
        <v>4369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4370</v>
      </c>
      <c r="B2078" s="67"/>
      <c r="C2078" s="18" t="s">
        <v>1533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4371</v>
      </c>
      <c r="B2079" s="67">
        <v>21531362885</v>
      </c>
      <c r="C2079" s="72" t="s">
        <v>4372</v>
      </c>
      <c r="D2079" s="69">
        <v>27454333850</v>
      </c>
      <c r="E2079" s="9">
        <v>117</v>
      </c>
      <c r="F2079" s="25">
        <v>43117</v>
      </c>
      <c r="G2079" s="70" t="s">
        <v>1423</v>
      </c>
      <c r="H2079" s="9"/>
      <c r="I2079" s="8"/>
      <c r="J2079" s="8"/>
      <c r="K2079" s="8"/>
      <c r="L2079" s="9" t="s">
        <v>1574</v>
      </c>
      <c r="M2079" s="8"/>
    </row>
    <row r="2080" spans="1:13" x14ac:dyDescent="0.25">
      <c r="A2080" s="13" t="s">
        <v>4371</v>
      </c>
      <c r="B2080" s="67">
        <v>35537854899</v>
      </c>
      <c r="C2080" s="72" t="s">
        <v>4373</v>
      </c>
      <c r="D2080" s="69">
        <v>35365081897</v>
      </c>
      <c r="E2080" s="9">
        <v>1128</v>
      </c>
      <c r="F2080" s="25">
        <v>42972</v>
      </c>
      <c r="G2080" s="70" t="s">
        <v>1423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4374</v>
      </c>
      <c r="B2081" s="67"/>
      <c r="C2081" s="29" t="s">
        <v>4375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4376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1423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4377</v>
      </c>
      <c r="B2083" s="67">
        <v>35483702840</v>
      </c>
      <c r="C2083" s="72" t="s">
        <v>4378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4379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1423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4380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1703</v>
      </c>
      <c r="M2085" s="8"/>
    </row>
    <row r="2086" spans="1:13" x14ac:dyDescent="0.25">
      <c r="A2086" s="72" t="s">
        <v>4381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4382</v>
      </c>
      <c r="B2087" s="67">
        <v>3322258440</v>
      </c>
      <c r="C2087" s="18" t="s">
        <v>4383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4384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4385</v>
      </c>
      <c r="B2089" s="67"/>
      <c r="C2089" s="18" t="s">
        <v>1533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4386</v>
      </c>
      <c r="B2090" s="67">
        <v>25564758897</v>
      </c>
      <c r="C2090" s="72" t="s">
        <v>4387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4388</v>
      </c>
      <c r="B2091" s="67">
        <v>9722276875</v>
      </c>
      <c r="C2091" s="72" t="s">
        <v>4389</v>
      </c>
      <c r="D2091" s="69">
        <v>7777516825</v>
      </c>
      <c r="E2091" s="9">
        <v>810</v>
      </c>
      <c r="F2091" s="25">
        <v>42915</v>
      </c>
      <c r="G2091" s="70" t="s">
        <v>1423</v>
      </c>
      <c r="H2091" s="9"/>
      <c r="I2091" s="8"/>
      <c r="J2091" s="8"/>
      <c r="K2091" s="8"/>
      <c r="L2091" s="9" t="s">
        <v>1542</v>
      </c>
      <c r="M2091" s="8"/>
    </row>
    <row r="2092" spans="1:13" x14ac:dyDescent="0.25">
      <c r="A2092" s="71" t="s">
        <v>4390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4391</v>
      </c>
      <c r="B2093" s="67">
        <v>27192176893</v>
      </c>
      <c r="C2093" s="68" t="s">
        <v>4392</v>
      </c>
      <c r="D2093" s="69">
        <v>8367664825</v>
      </c>
      <c r="E2093" s="9">
        <v>608</v>
      </c>
      <c r="F2093" s="25">
        <v>43012</v>
      </c>
      <c r="G2093" s="70" t="s">
        <v>1423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4393</v>
      </c>
      <c r="B2094" s="67">
        <v>16514255825</v>
      </c>
      <c r="C2094" s="18" t="s">
        <v>4394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4395</v>
      </c>
      <c r="B2095" s="67">
        <v>4809644324</v>
      </c>
      <c r="C2095" s="72" t="s">
        <v>4396</v>
      </c>
      <c r="D2095" s="69">
        <v>31827963808</v>
      </c>
      <c r="E2095" s="9">
        <v>1214</v>
      </c>
      <c r="F2095" s="25">
        <v>42989</v>
      </c>
      <c r="G2095" s="70" t="s">
        <v>1423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4397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1423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4398</v>
      </c>
      <c r="B2097" s="67">
        <v>11894918428</v>
      </c>
      <c r="C2097" s="72" t="s">
        <v>4399</v>
      </c>
      <c r="D2097" s="69">
        <v>37623185810</v>
      </c>
      <c r="E2097" s="9">
        <v>810</v>
      </c>
      <c r="F2097" s="25">
        <v>42915</v>
      </c>
      <c r="G2097" s="70" t="s">
        <v>1423</v>
      </c>
      <c r="H2097" s="9"/>
      <c r="I2097" s="8"/>
      <c r="J2097" s="8"/>
      <c r="K2097" s="8"/>
      <c r="L2097" s="9" t="s">
        <v>1542</v>
      </c>
      <c r="M2097" s="8"/>
    </row>
    <row r="2098" spans="1:13" x14ac:dyDescent="0.25">
      <c r="A2098" s="15" t="s">
        <v>4400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1423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4401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4402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1703</v>
      </c>
      <c r="M2100" s="8"/>
    </row>
    <row r="2101" spans="1:13" x14ac:dyDescent="0.25">
      <c r="A2101" s="15" t="s">
        <v>4403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4404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1423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4405</v>
      </c>
      <c r="B2103" s="67"/>
      <c r="C2103" s="29" t="s">
        <v>1533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4406</v>
      </c>
      <c r="B2104" s="67">
        <v>4241745377</v>
      </c>
      <c r="C2104" s="72" t="s">
        <v>4407</v>
      </c>
      <c r="D2104" s="69">
        <v>4417028303</v>
      </c>
      <c r="E2104" s="9">
        <v>85</v>
      </c>
      <c r="F2104" s="25">
        <v>43109</v>
      </c>
      <c r="G2104" s="70" t="s">
        <v>1423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4408</v>
      </c>
      <c r="B2105" s="67"/>
      <c r="C2105" s="29" t="s">
        <v>4409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4410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1423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4411</v>
      </c>
      <c r="B2107" s="67">
        <v>2182682708</v>
      </c>
      <c r="C2107" s="72" t="s">
        <v>4412</v>
      </c>
      <c r="D2107" s="69">
        <v>1409950727</v>
      </c>
      <c r="E2107" s="9">
        <v>810</v>
      </c>
      <c r="F2107" s="25">
        <v>42915</v>
      </c>
      <c r="G2107" s="70" t="s">
        <v>1437</v>
      </c>
      <c r="H2107" s="9"/>
      <c r="I2107" s="8"/>
      <c r="J2107" s="8"/>
      <c r="K2107" s="8"/>
      <c r="L2107" s="9" t="s">
        <v>1542</v>
      </c>
      <c r="M2107" s="8"/>
    </row>
    <row r="2108" spans="1:13" x14ac:dyDescent="0.25">
      <c r="A2108" s="71" t="s">
        <v>4413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4414</v>
      </c>
      <c r="B2109" s="67">
        <v>11694151808</v>
      </c>
      <c r="C2109" s="72" t="s">
        <v>4415</v>
      </c>
      <c r="D2109" s="69">
        <v>29721167800</v>
      </c>
      <c r="E2109" s="9">
        <v>485</v>
      </c>
      <c r="F2109" s="25">
        <v>43196</v>
      </c>
      <c r="G2109" s="70" t="s">
        <v>1429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4416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1423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4417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4418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1423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4419</v>
      </c>
      <c r="B2113" s="67">
        <v>24613427843</v>
      </c>
      <c r="C2113" s="72" t="s">
        <v>4420</v>
      </c>
      <c r="D2113" s="69">
        <v>6003706821</v>
      </c>
      <c r="E2113" s="9">
        <v>810</v>
      </c>
      <c r="F2113" s="25">
        <v>42915</v>
      </c>
      <c r="G2113" s="70" t="s">
        <v>1423</v>
      </c>
      <c r="H2113" s="76">
        <v>43213</v>
      </c>
      <c r="I2113" s="8"/>
      <c r="J2113" s="8"/>
      <c r="K2113" s="8"/>
      <c r="L2113" s="9" t="s">
        <v>1542</v>
      </c>
      <c r="M2113" s="8"/>
    </row>
    <row r="2114" spans="1:13" x14ac:dyDescent="0.25">
      <c r="A2114" s="72" t="s">
        <v>4421</v>
      </c>
      <c r="B2114" s="67">
        <v>61234508400</v>
      </c>
      <c r="C2114" s="72" t="s">
        <v>4422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4423</v>
      </c>
      <c r="B2115" s="67"/>
      <c r="C2115" s="18" t="s">
        <v>1533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4424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1423</v>
      </c>
      <c r="H2116" s="76">
        <v>43213</v>
      </c>
      <c r="I2116" s="8"/>
      <c r="J2116" s="8"/>
      <c r="K2116" s="8"/>
      <c r="L2116" s="9" t="s">
        <v>1542</v>
      </c>
      <c r="M2116" s="8"/>
    </row>
    <row r="2117" spans="1:13" x14ac:dyDescent="0.25">
      <c r="A2117" s="71" t="s">
        <v>4425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1437</v>
      </c>
      <c r="H2117" s="76">
        <v>43213</v>
      </c>
      <c r="I2117" s="8"/>
      <c r="J2117" s="8"/>
      <c r="K2117" s="8"/>
      <c r="L2117" s="9" t="s">
        <v>1802</v>
      </c>
      <c r="M2117" s="8"/>
    </row>
    <row r="2118" spans="1:13" x14ac:dyDescent="0.25">
      <c r="A2118" s="71" t="s">
        <v>4426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4427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4428</v>
      </c>
      <c r="B2120" s="67">
        <v>3493507364</v>
      </c>
      <c r="C2120" s="72" t="s">
        <v>4429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4430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1423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4431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1423</v>
      </c>
      <c r="H2122" s="9"/>
      <c r="I2122" s="8"/>
      <c r="J2122" s="8"/>
      <c r="K2122" s="8"/>
      <c r="L2122" s="9" t="s">
        <v>1542</v>
      </c>
      <c r="M2122" s="8"/>
    </row>
    <row r="2123" spans="1:13" x14ac:dyDescent="0.25">
      <c r="A2123" s="71" t="s">
        <v>4432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4433</v>
      </c>
      <c r="B2124" s="67">
        <v>31365484858</v>
      </c>
      <c r="C2124" s="71" t="s">
        <v>4434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4435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1423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4436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1423</v>
      </c>
      <c r="H2126" s="9"/>
      <c r="I2126" s="8"/>
      <c r="J2126" s="8"/>
      <c r="K2126" s="8"/>
      <c r="L2126" s="9" t="s">
        <v>1542</v>
      </c>
      <c r="M2126" s="8"/>
    </row>
    <row r="2127" spans="1:13" x14ac:dyDescent="0.25">
      <c r="A2127" s="14" t="s">
        <v>4437</v>
      </c>
      <c r="B2127" s="67">
        <v>69813043504</v>
      </c>
      <c r="C2127" s="72" t="s">
        <v>4438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4439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4440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1423</v>
      </c>
      <c r="H2129" s="9"/>
      <c r="I2129" s="8"/>
      <c r="J2129" s="8"/>
      <c r="K2129" s="8"/>
      <c r="L2129" s="9" t="s">
        <v>1574</v>
      </c>
      <c r="M2129" s="8"/>
    </row>
    <row r="2130" spans="1:13" x14ac:dyDescent="0.25">
      <c r="A2130" s="18" t="s">
        <v>4441</v>
      </c>
      <c r="B2130" s="67">
        <v>15800175845</v>
      </c>
      <c r="C2130" s="18" t="s">
        <v>4442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4443</v>
      </c>
      <c r="B2131" s="67">
        <v>13018290801</v>
      </c>
      <c r="C2131" s="72" t="s">
        <v>4444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4445</v>
      </c>
      <c r="B2132" s="67">
        <v>61505078318</v>
      </c>
      <c r="C2132" s="18" t="s">
        <v>4446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4447</v>
      </c>
      <c r="B2133" s="67">
        <v>6097323824</v>
      </c>
      <c r="C2133" s="72" t="s">
        <v>4448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4449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1423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4450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1423</v>
      </c>
      <c r="H2135" s="76">
        <v>43213</v>
      </c>
      <c r="I2135" s="8"/>
      <c r="J2135" s="8"/>
      <c r="K2135" s="8"/>
      <c r="L2135" s="9" t="s">
        <v>1542</v>
      </c>
      <c r="M2135" s="8"/>
    </row>
    <row r="2136" spans="1:13" x14ac:dyDescent="0.25">
      <c r="A2136" s="71" t="s">
        <v>4451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1423</v>
      </c>
      <c r="H2136" s="76">
        <v>43213</v>
      </c>
      <c r="I2136" s="8"/>
      <c r="J2136" s="8"/>
      <c r="K2136" s="8"/>
      <c r="L2136" s="9" t="s">
        <v>1542</v>
      </c>
      <c r="M2136" s="8"/>
    </row>
    <row r="2137" spans="1:13" x14ac:dyDescent="0.25">
      <c r="A2137" s="71" t="s">
        <v>4452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1423</v>
      </c>
      <c r="H2137" s="76">
        <v>43213</v>
      </c>
      <c r="I2137" s="8"/>
      <c r="J2137" s="8"/>
      <c r="K2137" s="8"/>
      <c r="L2137" s="9" t="s">
        <v>1542</v>
      </c>
      <c r="M2137" s="8"/>
    </row>
    <row r="2138" spans="1:13" x14ac:dyDescent="0.25">
      <c r="A2138" s="71" t="s">
        <v>4453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4454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1423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4455</v>
      </c>
      <c r="B2140" s="67">
        <v>33005130819</v>
      </c>
      <c r="C2140" s="72" t="s">
        <v>4456</v>
      </c>
      <c r="D2140" s="69">
        <v>29843431820</v>
      </c>
      <c r="E2140" s="9">
        <v>117</v>
      </c>
      <c r="F2140" s="25">
        <v>43117</v>
      </c>
      <c r="G2140" s="70" t="s">
        <v>1423</v>
      </c>
      <c r="H2140" s="76">
        <v>43213</v>
      </c>
      <c r="I2140" s="8"/>
      <c r="J2140" s="8"/>
      <c r="K2140" s="8"/>
      <c r="L2140" s="9" t="s">
        <v>1574</v>
      </c>
      <c r="M2140" s="8"/>
    </row>
    <row r="2141" spans="1:13" x14ac:dyDescent="0.25">
      <c r="A2141" s="71" t="s">
        <v>4457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1423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4458</v>
      </c>
      <c r="B2142" s="67">
        <v>42840674866</v>
      </c>
      <c r="C2142" s="72" t="s">
        <v>4459</v>
      </c>
      <c r="D2142" s="69">
        <v>33066015866</v>
      </c>
      <c r="E2142" s="9">
        <v>117</v>
      </c>
      <c r="F2142" s="25">
        <v>43117</v>
      </c>
      <c r="G2142" s="70" t="s">
        <v>1423</v>
      </c>
      <c r="H2142" s="9"/>
      <c r="I2142" s="8"/>
      <c r="J2142" s="8"/>
      <c r="K2142" s="8"/>
      <c r="L2142" s="9" t="s">
        <v>1574</v>
      </c>
      <c r="M2142" s="8"/>
    </row>
    <row r="2143" spans="1:13" x14ac:dyDescent="0.25">
      <c r="A2143" s="71" t="s">
        <v>4460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4461</v>
      </c>
      <c r="B2144" s="67">
        <v>2312065851</v>
      </c>
      <c r="C2144" s="73" t="s">
        <v>4462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4463</v>
      </c>
      <c r="B2145" s="67">
        <v>48549010472</v>
      </c>
      <c r="C2145" s="72" t="s">
        <v>4464</v>
      </c>
      <c r="D2145" s="69">
        <v>7796014830</v>
      </c>
      <c r="E2145" s="9">
        <v>1267</v>
      </c>
      <c r="F2145" s="25">
        <v>42998</v>
      </c>
      <c r="G2145" s="70" t="s">
        <v>1423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4465</v>
      </c>
      <c r="B2146" s="67"/>
      <c r="C2146" s="18" t="s">
        <v>1533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4465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4466</v>
      </c>
      <c r="B2148" s="67">
        <v>38348922890</v>
      </c>
      <c r="C2148" s="72" t="s">
        <v>4467</v>
      </c>
      <c r="D2148" s="69">
        <v>22580367802</v>
      </c>
      <c r="E2148" s="9">
        <v>810</v>
      </c>
      <c r="F2148" s="25">
        <v>42915</v>
      </c>
      <c r="G2148" s="70" t="s">
        <v>1423</v>
      </c>
      <c r="H2148" s="9"/>
      <c r="I2148" s="8"/>
      <c r="J2148" s="8"/>
      <c r="K2148" s="8"/>
      <c r="L2148" s="9" t="s">
        <v>1542</v>
      </c>
      <c r="M2148" s="8"/>
    </row>
    <row r="2149" spans="1:13" x14ac:dyDescent="0.25">
      <c r="A2149" s="72" t="s">
        <v>4468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1423</v>
      </c>
      <c r="H2149" s="9"/>
      <c r="I2149" s="8"/>
      <c r="J2149" s="8"/>
      <c r="K2149" s="8"/>
      <c r="L2149" s="9" t="s">
        <v>1574</v>
      </c>
      <c r="M2149" s="8"/>
    </row>
    <row r="2150" spans="1:13" x14ac:dyDescent="0.25">
      <c r="A2150" s="71" t="s">
        <v>4469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4470</v>
      </c>
      <c r="B2151" s="67">
        <v>36691354800</v>
      </c>
      <c r="C2151" s="72" t="s">
        <v>4471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4472</v>
      </c>
      <c r="B2152" s="67">
        <v>2599679559</v>
      </c>
      <c r="C2152" s="72" t="s">
        <v>4473</v>
      </c>
      <c r="D2152" s="69">
        <v>99002051549</v>
      </c>
      <c r="E2152" s="9">
        <v>1824</v>
      </c>
      <c r="F2152" s="25">
        <v>43091</v>
      </c>
      <c r="G2152" s="70" t="s">
        <v>1437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4474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4475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1423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4476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1423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4477</v>
      </c>
      <c r="B2156" s="67">
        <v>94813078591</v>
      </c>
      <c r="C2156" s="18" t="s">
        <v>4478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4479</v>
      </c>
      <c r="B2157" s="67">
        <v>6522038846</v>
      </c>
      <c r="C2157" s="72" t="s">
        <v>4480</v>
      </c>
      <c r="D2157" s="69">
        <v>390582808</v>
      </c>
      <c r="E2157" s="9">
        <v>292</v>
      </c>
      <c r="F2157" s="25">
        <v>43168</v>
      </c>
      <c r="G2157" s="70" t="s">
        <v>1423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4481</v>
      </c>
      <c r="B2158" s="67">
        <v>70986847402</v>
      </c>
      <c r="C2158" s="72" t="s">
        <v>4482</v>
      </c>
      <c r="D2158" s="69">
        <v>39640099899</v>
      </c>
      <c r="E2158" s="9">
        <v>229</v>
      </c>
      <c r="F2158" s="25">
        <v>43151</v>
      </c>
      <c r="G2158" s="70" t="s">
        <v>1423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4483</v>
      </c>
      <c r="B2159" s="67">
        <v>37737032878</v>
      </c>
      <c r="C2159" s="72" t="s">
        <v>4484</v>
      </c>
      <c r="D2159" s="69">
        <v>24659778819</v>
      </c>
      <c r="E2159" s="9">
        <v>1417</v>
      </c>
      <c r="F2159" s="25">
        <v>43017</v>
      </c>
      <c r="G2159" s="70" t="s">
        <v>1429</v>
      </c>
      <c r="H2159" s="9"/>
      <c r="I2159" s="8"/>
      <c r="J2159" s="8"/>
      <c r="K2159" s="8"/>
      <c r="L2159" s="9" t="s">
        <v>1657</v>
      </c>
      <c r="M2159" s="8"/>
    </row>
    <row r="2160" spans="1:13" x14ac:dyDescent="0.25">
      <c r="A2160" s="71" t="s">
        <v>4485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4486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1423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4487</v>
      </c>
      <c r="B2162" s="67">
        <v>15716959822</v>
      </c>
      <c r="C2162" s="72" t="s">
        <v>4488</v>
      </c>
      <c r="D2162" s="69">
        <v>10451985877</v>
      </c>
      <c r="E2162" s="9">
        <v>262</v>
      </c>
      <c r="F2162" s="25">
        <v>43160</v>
      </c>
      <c r="G2162" s="70" t="s">
        <v>1423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4489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4490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1423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4491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1423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4492</v>
      </c>
      <c r="B2166" s="67">
        <v>32241408875</v>
      </c>
      <c r="C2166" s="72" t="s">
        <v>4493</v>
      </c>
      <c r="D2166" s="69">
        <v>7164250413</v>
      </c>
      <c r="E2166" s="9">
        <v>1824</v>
      </c>
      <c r="F2166" s="25">
        <v>43091</v>
      </c>
      <c r="G2166" s="70" t="s">
        <v>1423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4494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1423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4495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1423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4496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4497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4498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1423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4499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1423</v>
      </c>
      <c r="H2172" s="9"/>
      <c r="I2172" s="8"/>
      <c r="J2172" s="8"/>
      <c r="K2172" s="8"/>
      <c r="L2172" s="9" t="s">
        <v>1657</v>
      </c>
      <c r="M2172" s="8"/>
    </row>
    <row r="2173" spans="1:13" x14ac:dyDescent="0.25">
      <c r="A2173" s="71" t="s">
        <v>4500</v>
      </c>
      <c r="B2173" s="67">
        <v>8983229870</v>
      </c>
      <c r="C2173" s="72" t="s">
        <v>4501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4502</v>
      </c>
      <c r="B2174" s="67">
        <v>9269199894</v>
      </c>
      <c r="C2174" s="72" t="s">
        <v>4503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4504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1423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4505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1423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4506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1423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4507</v>
      </c>
      <c r="B2178" s="67">
        <v>34641758808</v>
      </c>
      <c r="C2178" s="72" t="s">
        <v>4508</v>
      </c>
      <c r="D2178" s="69">
        <v>30083315802</v>
      </c>
      <c r="E2178" s="9">
        <v>810</v>
      </c>
      <c r="F2178" s="25">
        <v>42915</v>
      </c>
      <c r="G2178" s="70" t="s">
        <v>1423</v>
      </c>
      <c r="H2178" s="9"/>
      <c r="I2178" s="8"/>
      <c r="J2178" s="8"/>
      <c r="K2178" s="8"/>
      <c r="L2178" s="9" t="s">
        <v>1542</v>
      </c>
      <c r="M2178" s="8"/>
    </row>
    <row r="2179" spans="1:13" x14ac:dyDescent="0.25">
      <c r="A2179" s="71" t="s">
        <v>4509</v>
      </c>
      <c r="B2179" s="67">
        <v>1335459383</v>
      </c>
      <c r="C2179" s="71" t="s">
        <v>4510</v>
      </c>
      <c r="D2179" s="69">
        <v>2369426381</v>
      </c>
      <c r="E2179" s="9">
        <v>292</v>
      </c>
      <c r="F2179" s="25">
        <v>43168</v>
      </c>
      <c r="G2179" s="70" t="s">
        <v>1423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4511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1423</v>
      </c>
      <c r="H2180" s="9"/>
      <c r="I2180" s="8"/>
      <c r="J2180" s="8"/>
      <c r="K2180" s="8"/>
      <c r="L2180" s="9" t="s">
        <v>1574</v>
      </c>
      <c r="M2180" s="8"/>
    </row>
    <row r="2181" spans="1:13" x14ac:dyDescent="0.25">
      <c r="A2181" s="71" t="s">
        <v>4512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1423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4513</v>
      </c>
      <c r="B2182" s="67">
        <v>38248770826</v>
      </c>
      <c r="C2182" s="29" t="s">
        <v>4514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4515</v>
      </c>
      <c r="B2183" s="67">
        <v>32857847840</v>
      </c>
      <c r="C2183" s="72" t="s">
        <v>4516</v>
      </c>
      <c r="D2183" s="69">
        <v>33885204886</v>
      </c>
      <c r="E2183" s="9">
        <v>810</v>
      </c>
      <c r="F2183" s="25">
        <v>42915</v>
      </c>
      <c r="G2183" s="70" t="s">
        <v>1423</v>
      </c>
      <c r="H2183" s="9"/>
      <c r="I2183" s="8"/>
      <c r="J2183" s="8"/>
      <c r="K2183" s="8"/>
      <c r="L2183" s="9" t="s">
        <v>1542</v>
      </c>
      <c r="M2183" s="8"/>
    </row>
    <row r="2184" spans="1:13" x14ac:dyDescent="0.25">
      <c r="A2184" s="14" t="s">
        <v>4517</v>
      </c>
      <c r="B2184" s="67">
        <v>25367069827</v>
      </c>
      <c r="C2184" s="72" t="s">
        <v>4518</v>
      </c>
      <c r="D2184" s="69">
        <v>28922275855</v>
      </c>
      <c r="E2184" s="9">
        <v>262</v>
      </c>
      <c r="F2184" s="25">
        <v>43160</v>
      </c>
      <c r="G2184" s="70" t="s">
        <v>1429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4519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1423</v>
      </c>
      <c r="H2185" s="9"/>
      <c r="I2185" s="8"/>
      <c r="J2185" s="8"/>
      <c r="K2185" s="8"/>
      <c r="L2185" s="9" t="s">
        <v>1574</v>
      </c>
      <c r="M2185" s="8"/>
    </row>
    <row r="2186" spans="1:13" x14ac:dyDescent="0.25">
      <c r="A2186" s="71" t="s">
        <v>4520</v>
      </c>
      <c r="B2186" s="67">
        <v>29652533866</v>
      </c>
      <c r="C2186" s="72" t="s">
        <v>4521</v>
      </c>
      <c r="D2186" s="69">
        <v>21898199892</v>
      </c>
      <c r="E2186" s="9">
        <v>1752</v>
      </c>
      <c r="F2186" s="25">
        <v>43051</v>
      </c>
      <c r="G2186" s="70" t="s">
        <v>1423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4522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1423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4523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1423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4524</v>
      </c>
      <c r="B2189" s="67">
        <v>34777966836</v>
      </c>
      <c r="C2189" s="72" t="s">
        <v>4525</v>
      </c>
      <c r="D2189" s="69">
        <v>33600648870</v>
      </c>
      <c r="E2189" s="9">
        <v>117</v>
      </c>
      <c r="F2189" s="25">
        <v>43117</v>
      </c>
      <c r="G2189" s="70" t="s">
        <v>1423</v>
      </c>
      <c r="H2189" s="9"/>
      <c r="I2189" s="8"/>
      <c r="J2189" s="8"/>
      <c r="K2189" s="8"/>
      <c r="L2189" s="9" t="s">
        <v>1574</v>
      </c>
      <c r="M2189" s="8"/>
    </row>
    <row r="2190" spans="1:13" x14ac:dyDescent="0.25">
      <c r="A2190" s="29" t="s">
        <v>4526</v>
      </c>
      <c r="B2190" s="67"/>
      <c r="C2190" s="29" t="s">
        <v>4527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4528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1423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4529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4530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1423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4531</v>
      </c>
      <c r="B2194" s="67">
        <v>27082581840</v>
      </c>
      <c r="C2194" s="77" t="s">
        <v>4532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4533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4534</v>
      </c>
      <c r="B2196" s="67">
        <v>40878539859</v>
      </c>
      <c r="C2196" s="72" t="s">
        <v>4535</v>
      </c>
      <c r="D2196" s="69"/>
      <c r="E2196" s="9">
        <v>1489</v>
      </c>
      <c r="F2196" s="25">
        <v>43038</v>
      </c>
      <c r="G2196" s="70" t="s">
        <v>1423</v>
      </c>
      <c r="H2196" s="9"/>
      <c r="I2196" s="8"/>
      <c r="J2196" s="8"/>
      <c r="K2196" s="8"/>
      <c r="L2196" s="9" t="s">
        <v>1564</v>
      </c>
      <c r="M2196" s="8"/>
    </row>
    <row r="2197" spans="1:13" x14ac:dyDescent="0.25">
      <c r="A2197" s="71" t="s">
        <v>4536</v>
      </c>
      <c r="B2197" s="67">
        <v>35643661802</v>
      </c>
      <c r="C2197" s="68" t="s">
        <v>4537</v>
      </c>
      <c r="D2197" s="69">
        <v>34613571898</v>
      </c>
      <c r="E2197" s="9">
        <v>1128</v>
      </c>
      <c r="F2197" s="25">
        <v>42972</v>
      </c>
      <c r="G2197" s="70" t="s">
        <v>1423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4538</v>
      </c>
      <c r="B2198" s="67">
        <v>89251660549</v>
      </c>
      <c r="C2198" s="18" t="s">
        <v>1533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4539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1423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4540</v>
      </c>
      <c r="B2200" s="67">
        <v>28280731814</v>
      </c>
      <c r="C2200" s="68" t="s">
        <v>4541</v>
      </c>
      <c r="D2200" s="69">
        <v>36523032884</v>
      </c>
      <c r="E2200" s="9">
        <v>1128</v>
      </c>
      <c r="F2200" s="25">
        <v>42972</v>
      </c>
      <c r="G2200" s="70" t="s">
        <v>1423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4542</v>
      </c>
      <c r="B2201" s="67">
        <v>12525223802</v>
      </c>
      <c r="C2201" s="68" t="s">
        <v>4543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4544</v>
      </c>
      <c r="B2202" s="67">
        <v>37014825860</v>
      </c>
      <c r="C2202" s="72" t="s">
        <v>4545</v>
      </c>
      <c r="D2202" s="69">
        <v>38869051870</v>
      </c>
      <c r="E2202" s="9">
        <v>1752</v>
      </c>
      <c r="F2202" s="25">
        <v>43051</v>
      </c>
      <c r="G2202" s="70" t="s">
        <v>1423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4546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1423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4547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1423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4548</v>
      </c>
      <c r="B2205" s="67">
        <v>15095801825</v>
      </c>
      <c r="C2205" s="72" t="s">
        <v>4549</v>
      </c>
      <c r="D2205" s="69">
        <v>16417229831</v>
      </c>
      <c r="E2205" s="9">
        <v>85</v>
      </c>
      <c r="F2205" s="25">
        <v>43109</v>
      </c>
      <c r="G2205" s="70" t="s">
        <v>1423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4550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4551</v>
      </c>
      <c r="B2207" s="67">
        <v>58037845249</v>
      </c>
      <c r="C2207" s="72" t="s">
        <v>4552</v>
      </c>
      <c r="D2207" s="69">
        <v>496500333</v>
      </c>
      <c r="E2207" s="9">
        <v>117</v>
      </c>
      <c r="F2207" s="25">
        <v>43117</v>
      </c>
      <c r="G2207" s="70" t="s">
        <v>1423</v>
      </c>
      <c r="H2207" s="9"/>
      <c r="I2207" s="8"/>
      <c r="J2207" s="8"/>
      <c r="K2207" s="8"/>
      <c r="L2207" s="9" t="s">
        <v>1574</v>
      </c>
      <c r="M2207" s="8"/>
    </row>
    <row r="2208" spans="1:13" x14ac:dyDescent="0.25">
      <c r="A2208" s="84" t="s">
        <v>4553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4554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4555</v>
      </c>
      <c r="B2210" s="67">
        <v>4416847858</v>
      </c>
      <c r="C2210" s="72" t="s">
        <v>4556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4557</v>
      </c>
      <c r="B2211" s="67"/>
      <c r="C2211" s="18" t="s">
        <v>1533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4558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1423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4559</v>
      </c>
      <c r="B2213" s="67">
        <v>35325197800</v>
      </c>
      <c r="C2213" s="72" t="s">
        <v>4560</v>
      </c>
      <c r="D2213" s="69">
        <v>38159378840</v>
      </c>
      <c r="E2213" s="9">
        <v>810</v>
      </c>
      <c r="F2213" s="25">
        <v>42915</v>
      </c>
      <c r="G2213" s="70" t="s">
        <v>1423</v>
      </c>
      <c r="H2213" s="9"/>
      <c r="I2213" s="8"/>
      <c r="J2213" s="8"/>
      <c r="K2213" s="8"/>
      <c r="L2213" s="9" t="s">
        <v>1542</v>
      </c>
      <c r="M2213" s="8"/>
    </row>
    <row r="2214" spans="1:13" x14ac:dyDescent="0.25">
      <c r="A2214" s="71" t="s">
        <v>4561</v>
      </c>
      <c r="B2214" s="67">
        <v>37527821884</v>
      </c>
      <c r="C2214" s="72" t="s">
        <v>4562</v>
      </c>
      <c r="D2214" s="69">
        <v>69447810420</v>
      </c>
      <c r="E2214" s="9">
        <v>262</v>
      </c>
      <c r="F2214" s="25">
        <v>43160</v>
      </c>
      <c r="G2214" s="70" t="s">
        <v>1423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4563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1423</v>
      </c>
      <c r="H2215" s="9"/>
      <c r="I2215" s="8"/>
      <c r="J2215" s="8"/>
      <c r="K2215" s="8"/>
      <c r="L2215" s="9" t="s">
        <v>1574</v>
      </c>
      <c r="M2215" s="8"/>
    </row>
    <row r="2216" spans="1:13" x14ac:dyDescent="0.25">
      <c r="A2216" s="15" t="s">
        <v>4564</v>
      </c>
      <c r="B2216" s="67">
        <v>85281050672</v>
      </c>
      <c r="C2216" s="72" t="s">
        <v>4565</v>
      </c>
      <c r="D2216" s="69">
        <v>5490696664</v>
      </c>
      <c r="E2216" s="9">
        <v>229</v>
      </c>
      <c r="F2216" s="25">
        <v>43151</v>
      </c>
      <c r="G2216" s="70" t="s">
        <v>1423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4566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1423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4567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1429</v>
      </c>
      <c r="H2218" s="9"/>
      <c r="I2218" s="8"/>
      <c r="J2218" s="8"/>
      <c r="K2218" s="8"/>
      <c r="L2218" s="9" t="s">
        <v>1574</v>
      </c>
      <c r="M2218" s="8"/>
    </row>
    <row r="2219" spans="1:13" x14ac:dyDescent="0.25">
      <c r="A2219" s="71" t="s">
        <v>4568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4569</v>
      </c>
      <c r="B2220" s="67">
        <v>27851461820</v>
      </c>
      <c r="C2220" s="72" t="s">
        <v>4570</v>
      </c>
      <c r="D2220" s="69">
        <v>27264565882</v>
      </c>
      <c r="E2220" s="9">
        <v>117</v>
      </c>
      <c r="F2220" s="25">
        <v>43117</v>
      </c>
      <c r="G2220" s="70" t="s">
        <v>1423</v>
      </c>
      <c r="H2220" s="9"/>
      <c r="I2220" s="8"/>
      <c r="J2220" s="8"/>
      <c r="K2220" s="8"/>
      <c r="L2220" s="9" t="s">
        <v>1574</v>
      </c>
      <c r="M2220" s="8"/>
    </row>
    <row r="2221" spans="1:13" x14ac:dyDescent="0.25">
      <c r="A2221" s="71" t="s">
        <v>4571</v>
      </c>
      <c r="B2221" s="67">
        <v>32960731832</v>
      </c>
      <c r="C2221" s="77" t="s">
        <v>4572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4573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4574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1423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4575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1423</v>
      </c>
      <c r="H2224" s="9"/>
      <c r="I2224" s="8"/>
      <c r="J2224" s="8"/>
      <c r="K2224" s="8"/>
      <c r="L2224" s="9" t="s">
        <v>1564</v>
      </c>
      <c r="M2224" s="8"/>
    </row>
    <row r="2225" spans="1:13" x14ac:dyDescent="0.25">
      <c r="A2225" s="71" t="s">
        <v>4576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1423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4577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1423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4578</v>
      </c>
      <c r="B2227" s="67"/>
      <c r="C2227" s="18" t="s">
        <v>1533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4579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1423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4580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1423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4581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4582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1423</v>
      </c>
      <c r="H2231" s="9"/>
      <c r="I2231" s="8"/>
      <c r="J2231" s="8"/>
      <c r="K2231" s="8"/>
      <c r="L2231" s="9" t="s">
        <v>1574</v>
      </c>
      <c r="M2231" s="8"/>
    </row>
    <row r="2232" spans="1:13" x14ac:dyDescent="0.25">
      <c r="A2232" s="14" t="s">
        <v>4583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4584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1423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4585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4586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4587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4588</v>
      </c>
      <c r="B2237" s="67">
        <v>22548549844</v>
      </c>
      <c r="C2237" s="77" t="s">
        <v>4589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4590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1423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4591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1423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4592</v>
      </c>
      <c r="B2240" s="67">
        <v>27757716888</v>
      </c>
      <c r="C2240" s="77" t="s">
        <v>4593</v>
      </c>
      <c r="D2240" s="69" t="s">
        <v>4594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4595</v>
      </c>
      <c r="B2241" s="67">
        <v>30926413880</v>
      </c>
      <c r="C2241" s="72" t="s">
        <v>4596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1703</v>
      </c>
      <c r="M2241" s="8"/>
    </row>
    <row r="2242" spans="1:13" x14ac:dyDescent="0.25">
      <c r="A2242" s="71" t="s">
        <v>4597</v>
      </c>
      <c r="B2242" s="67">
        <v>32954076810</v>
      </c>
      <c r="C2242" s="72" t="s">
        <v>4598</v>
      </c>
      <c r="D2242" s="69">
        <v>82353131468</v>
      </c>
      <c r="E2242" s="9">
        <v>292</v>
      </c>
      <c r="F2242" s="25">
        <v>43168</v>
      </c>
      <c r="G2242" s="70" t="s">
        <v>1423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4599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1429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4600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1423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4601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1423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4602</v>
      </c>
      <c r="B2246" s="67">
        <v>23171032805</v>
      </c>
      <c r="C2246" s="72" t="s">
        <v>4603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4604</v>
      </c>
      <c r="B2247" s="67">
        <v>33375182813</v>
      </c>
      <c r="C2247" s="75" t="s">
        <v>4605</v>
      </c>
      <c r="D2247" s="69">
        <v>30178836800</v>
      </c>
      <c r="E2247" s="9">
        <v>1106</v>
      </c>
      <c r="F2247" s="25">
        <v>42965</v>
      </c>
      <c r="G2247" s="70" t="s">
        <v>1423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4606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1423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4607</v>
      </c>
      <c r="B2249" s="67">
        <v>15712243865</v>
      </c>
      <c r="C2249" s="72" t="s">
        <v>4608</v>
      </c>
      <c r="D2249" s="69">
        <v>501095705</v>
      </c>
      <c r="E2249" s="9">
        <v>1752</v>
      </c>
      <c r="F2249" s="25">
        <v>43051</v>
      </c>
      <c r="G2249" s="70" t="s">
        <v>1423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4609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1423</v>
      </c>
      <c r="H2250" s="9"/>
      <c r="I2250" s="8"/>
      <c r="J2250" s="8"/>
      <c r="K2250" s="8"/>
      <c r="L2250" s="9" t="s">
        <v>1542</v>
      </c>
      <c r="M2250" s="8"/>
    </row>
    <row r="2251" spans="1:13" x14ac:dyDescent="0.25">
      <c r="A2251" s="15" t="s">
        <v>4610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1423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4611</v>
      </c>
      <c r="B2252" s="67">
        <v>22403927899</v>
      </c>
      <c r="C2252" s="72" t="s">
        <v>4612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4613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1423</v>
      </c>
      <c r="H2253" s="9"/>
      <c r="I2253" s="8"/>
      <c r="J2253" s="8"/>
      <c r="K2253" s="8"/>
      <c r="L2253" s="9" t="s">
        <v>1574</v>
      </c>
      <c r="M2253" s="8"/>
    </row>
    <row r="2254" spans="1:13" x14ac:dyDescent="0.25">
      <c r="A2254" s="14" t="s">
        <v>4614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4615</v>
      </c>
      <c r="B2255" s="67">
        <v>32624504800</v>
      </c>
      <c r="C2255" s="72" t="s">
        <v>4616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4617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1423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4618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1429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4619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4620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1423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4621</v>
      </c>
      <c r="B2260" s="67">
        <v>14688456832</v>
      </c>
      <c r="C2260" s="72" t="s">
        <v>4622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4623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1423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4624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1423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4625</v>
      </c>
      <c r="B2263" s="67">
        <v>38726646897</v>
      </c>
      <c r="C2263" s="18" t="s">
        <v>4626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4627</v>
      </c>
      <c r="B2264" s="67">
        <v>45171952876</v>
      </c>
      <c r="C2264" s="29" t="s">
        <v>4628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4629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1423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4630</v>
      </c>
      <c r="B2266" s="67">
        <v>36695082871</v>
      </c>
      <c r="C2266" s="72" t="s">
        <v>4631</v>
      </c>
      <c r="D2266" s="69">
        <v>36736721857</v>
      </c>
      <c r="E2266" s="9">
        <v>1241</v>
      </c>
      <c r="F2266" s="25">
        <v>42992</v>
      </c>
      <c r="G2266" s="70" t="s">
        <v>1423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4632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4633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4634</v>
      </c>
      <c r="B2269" s="67">
        <v>42141950864</v>
      </c>
      <c r="C2269" s="72" t="s">
        <v>4635</v>
      </c>
      <c r="D2269" s="69"/>
      <c r="E2269" s="9">
        <v>1214</v>
      </c>
      <c r="F2269" s="25">
        <v>42989</v>
      </c>
      <c r="G2269" s="70" t="s">
        <v>1423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4636</v>
      </c>
      <c r="B2270" s="67">
        <v>47270275858</v>
      </c>
      <c r="C2270" s="72" t="s">
        <v>4637</v>
      </c>
      <c r="D2270" s="69">
        <v>34861975840</v>
      </c>
      <c r="E2270" s="9">
        <v>1824</v>
      </c>
      <c r="F2270" s="25">
        <v>43091</v>
      </c>
      <c r="G2270" s="70" t="s">
        <v>1423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4638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1423</v>
      </c>
      <c r="H2271" s="9"/>
      <c r="I2271" s="8"/>
      <c r="J2271" s="8"/>
      <c r="K2271" s="8"/>
      <c r="L2271" s="9" t="s">
        <v>1574</v>
      </c>
      <c r="M2271" s="8"/>
    </row>
    <row r="2272" spans="1:13" x14ac:dyDescent="0.25">
      <c r="A2272" s="29" t="s">
        <v>4639</v>
      </c>
      <c r="B2272" s="67">
        <v>22899917838</v>
      </c>
      <c r="C2272" s="18" t="s">
        <v>1533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4640</v>
      </c>
      <c r="B2273" s="67"/>
      <c r="C2273" s="29" t="s">
        <v>1533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4641</v>
      </c>
      <c r="B2274" s="67">
        <v>45477385804</v>
      </c>
      <c r="C2274" s="72" t="s">
        <v>4642</v>
      </c>
      <c r="D2274" s="69">
        <v>40972166866</v>
      </c>
      <c r="E2274" s="9">
        <v>1417</v>
      </c>
      <c r="F2274" s="25">
        <v>43017</v>
      </c>
      <c r="G2274" s="70" t="s">
        <v>1423</v>
      </c>
      <c r="H2274" s="9"/>
      <c r="I2274" s="8"/>
      <c r="J2274" s="8"/>
      <c r="K2274" s="8"/>
      <c r="L2274" s="9" t="s">
        <v>1657</v>
      </c>
      <c r="M2274" s="8"/>
    </row>
    <row r="2275" spans="1:13" x14ac:dyDescent="0.25">
      <c r="A2275" s="71" t="s">
        <v>4643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1423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4644</v>
      </c>
      <c r="B2276" s="67"/>
      <c r="C2276" s="29" t="s">
        <v>4645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4646</v>
      </c>
      <c r="B2277" s="67">
        <v>8990461855</v>
      </c>
      <c r="C2277" s="15" t="s">
        <v>4485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4647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4648</v>
      </c>
      <c r="B2279" s="67"/>
      <c r="C2279" s="29" t="s">
        <v>4649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4650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1423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4651</v>
      </c>
      <c r="B2281" s="67">
        <v>38917984827</v>
      </c>
      <c r="C2281" s="72" t="s">
        <v>4652</v>
      </c>
      <c r="D2281" s="69">
        <v>42231603896</v>
      </c>
      <c r="E2281" s="9">
        <v>229</v>
      </c>
      <c r="F2281" s="25">
        <v>43151</v>
      </c>
      <c r="G2281" s="70" t="s">
        <v>1423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4653</v>
      </c>
      <c r="B2282" s="67">
        <v>37870673889</v>
      </c>
      <c r="C2282" s="72" t="s">
        <v>4654</v>
      </c>
      <c r="D2282" s="69">
        <v>2786569516</v>
      </c>
      <c r="E2282" s="9">
        <v>262</v>
      </c>
      <c r="F2282" s="25">
        <v>43160</v>
      </c>
      <c r="G2282" s="70" t="s">
        <v>1423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4655</v>
      </c>
      <c r="B2283" s="67">
        <v>10441616801</v>
      </c>
      <c r="C2283" s="72" t="s">
        <v>4656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4657</v>
      </c>
      <c r="B2284" s="67">
        <v>11702039811</v>
      </c>
      <c r="C2284" s="32" t="s">
        <v>4658</v>
      </c>
      <c r="D2284" s="69">
        <v>14689396884</v>
      </c>
      <c r="E2284" s="9">
        <v>1350</v>
      </c>
      <c r="F2284" s="25">
        <v>43006</v>
      </c>
      <c r="G2284" s="70" t="s">
        <v>1423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4659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1423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4660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4661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4662</v>
      </c>
      <c r="B2288" s="67">
        <v>46959766842</v>
      </c>
      <c r="C2288" s="72" t="s">
        <v>4663</v>
      </c>
      <c r="D2288" s="69">
        <v>40096022876</v>
      </c>
      <c r="E2288" s="9">
        <v>1350</v>
      </c>
      <c r="F2288" s="25">
        <v>43006</v>
      </c>
      <c r="G2288" s="70" t="s">
        <v>1423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4664</v>
      </c>
      <c r="B2289" s="67">
        <v>15147799869</v>
      </c>
      <c r="C2289" s="72" t="s">
        <v>4665</v>
      </c>
      <c r="D2289" s="69">
        <v>18304595893</v>
      </c>
      <c r="E2289" s="9">
        <v>1824</v>
      </c>
      <c r="F2289" s="25">
        <v>43091</v>
      </c>
      <c r="G2289" s="70" t="s">
        <v>1423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4666</v>
      </c>
      <c r="B2290" s="67">
        <v>29012884802</v>
      </c>
      <c r="C2290" s="72" t="s">
        <v>4667</v>
      </c>
      <c r="D2290" s="69">
        <v>16761377854</v>
      </c>
      <c r="E2290" s="9">
        <v>85</v>
      </c>
      <c r="F2290" s="25">
        <v>43109</v>
      </c>
      <c r="G2290" s="70" t="s">
        <v>1423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4668</v>
      </c>
      <c r="B2291" s="67">
        <v>13009518854</v>
      </c>
      <c r="C2291" s="72" t="s">
        <v>4669</v>
      </c>
      <c r="D2291" s="69">
        <v>59636467749</v>
      </c>
      <c r="E2291" s="9">
        <v>1267</v>
      </c>
      <c r="F2291" s="25">
        <v>42998</v>
      </c>
      <c r="G2291" s="70" t="s">
        <v>1437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4670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4671</v>
      </c>
      <c r="B2293" s="67">
        <v>38605259809</v>
      </c>
      <c r="C2293" s="72" t="s">
        <v>4672</v>
      </c>
      <c r="D2293" s="69">
        <v>1090388519</v>
      </c>
      <c r="E2293" s="9">
        <v>117</v>
      </c>
      <c r="F2293" s="25">
        <v>43117</v>
      </c>
      <c r="G2293" s="70" t="s">
        <v>1423</v>
      </c>
      <c r="H2293" s="9"/>
      <c r="I2293" s="8"/>
      <c r="J2293" s="8"/>
      <c r="K2293" s="8"/>
      <c r="L2293" s="9" t="s">
        <v>1574</v>
      </c>
      <c r="M2293" s="8"/>
    </row>
    <row r="2294" spans="1:13" x14ac:dyDescent="0.25">
      <c r="A2294" s="15" t="s">
        <v>4673</v>
      </c>
      <c r="B2294" s="67">
        <v>9333321810</v>
      </c>
      <c r="C2294" s="72" t="s">
        <v>4674</v>
      </c>
      <c r="D2294" s="69">
        <v>16122645818</v>
      </c>
      <c r="E2294" s="9">
        <v>117</v>
      </c>
      <c r="F2294" s="25">
        <v>43117</v>
      </c>
      <c r="G2294" s="70" t="s">
        <v>1423</v>
      </c>
      <c r="H2294" s="9"/>
      <c r="I2294" s="8"/>
      <c r="J2294" s="8"/>
      <c r="K2294" s="8"/>
      <c r="L2294" s="9" t="s">
        <v>1574</v>
      </c>
      <c r="M2294" s="8"/>
    </row>
    <row r="2295" spans="1:13" x14ac:dyDescent="0.25">
      <c r="A2295" s="71" t="s">
        <v>4675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1423</v>
      </c>
      <c r="H2295" s="9"/>
      <c r="I2295" s="8"/>
      <c r="J2295" s="8"/>
      <c r="K2295" s="8"/>
      <c r="L2295" s="9" t="s">
        <v>1542</v>
      </c>
      <c r="M2295" s="8"/>
    </row>
    <row r="2296" spans="1:13" x14ac:dyDescent="0.25">
      <c r="A2296" s="71" t="s">
        <v>4676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4677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4678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4679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4680</v>
      </c>
      <c r="B2300" s="67">
        <v>35810601839</v>
      </c>
      <c r="C2300" s="18" t="s">
        <v>4681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4682</v>
      </c>
      <c r="B2301" s="67">
        <v>32203433841</v>
      </c>
      <c r="C2301" s="72" t="s">
        <v>4683</v>
      </c>
      <c r="D2301" s="69">
        <v>36256617890</v>
      </c>
      <c r="E2301" s="9">
        <v>810</v>
      </c>
      <c r="F2301" s="25">
        <v>42915</v>
      </c>
      <c r="G2301" s="70" t="s">
        <v>1423</v>
      </c>
      <c r="H2301" s="9"/>
      <c r="I2301" s="8"/>
      <c r="J2301" s="8"/>
      <c r="K2301" s="8"/>
      <c r="L2301" s="9" t="s">
        <v>1542</v>
      </c>
      <c r="M2301" s="8"/>
    </row>
    <row r="2302" spans="1:13" x14ac:dyDescent="0.25">
      <c r="A2302" s="72" t="s">
        <v>4684</v>
      </c>
      <c r="B2302" s="67">
        <v>29816586894</v>
      </c>
      <c r="C2302" s="72" t="s">
        <v>4685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4686</v>
      </c>
      <c r="B2303" s="67">
        <v>3087797545</v>
      </c>
      <c r="C2303" s="71" t="s">
        <v>4687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4688</v>
      </c>
      <c r="B2304" s="67">
        <v>44135110851</v>
      </c>
      <c r="C2304" s="18" t="s">
        <v>4689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4690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1423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4691</v>
      </c>
      <c r="B2306" s="67">
        <v>5416929847</v>
      </c>
      <c r="C2306" s="72" t="s">
        <v>4692</v>
      </c>
      <c r="D2306" s="69">
        <v>69220670887</v>
      </c>
      <c r="E2306" s="9">
        <v>292</v>
      </c>
      <c r="F2306" s="25">
        <v>43168</v>
      </c>
      <c r="G2306" s="70" t="s">
        <v>1429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4693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1423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4694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4695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1423</v>
      </c>
      <c r="H2309" s="70"/>
      <c r="I2309" s="8"/>
      <c r="J2309" s="8"/>
      <c r="K2309" s="8"/>
      <c r="L2309" s="9" t="s">
        <v>1657</v>
      </c>
      <c r="M2309" s="8"/>
    </row>
    <row r="2310" spans="1:13" x14ac:dyDescent="0.25">
      <c r="A2310" s="71" t="s">
        <v>4696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1423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4697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4698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1423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4699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1423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4700</v>
      </c>
      <c r="B2314" s="67">
        <v>60363616373</v>
      </c>
      <c r="C2314" s="72" t="s">
        <v>4701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4702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1423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4703</v>
      </c>
      <c r="B2316" s="67">
        <v>6780677833</v>
      </c>
      <c r="C2316" s="29" t="s">
        <v>4704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4705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4706</v>
      </c>
      <c r="B2318" s="67"/>
      <c r="C2318" s="29" t="s">
        <v>1533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4707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4708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4709</v>
      </c>
      <c r="B2321" s="67"/>
      <c r="C2321" s="18" t="s">
        <v>4710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4711</v>
      </c>
      <c r="B2322" s="67">
        <v>47104776800</v>
      </c>
      <c r="C2322" s="72" t="s">
        <v>4712</v>
      </c>
      <c r="D2322" s="69">
        <v>29524413833</v>
      </c>
      <c r="E2322" s="9">
        <v>117</v>
      </c>
      <c r="F2322" s="25">
        <v>43117</v>
      </c>
      <c r="G2322" s="70" t="s">
        <v>1423</v>
      </c>
      <c r="H2322" s="70"/>
      <c r="I2322" s="8"/>
      <c r="J2322" s="8"/>
      <c r="K2322" s="8"/>
      <c r="L2322" s="9" t="s">
        <v>1574</v>
      </c>
      <c r="M2322" s="8"/>
    </row>
    <row r="2323" spans="1:13" x14ac:dyDescent="0.25">
      <c r="A2323" s="71" t="s">
        <v>4713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1423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4714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1423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4715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4716</v>
      </c>
      <c r="B2326" s="67"/>
      <c r="C2326" s="29" t="s">
        <v>4717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4718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1423</v>
      </c>
      <c r="H2327" s="9"/>
      <c r="I2327" s="8"/>
      <c r="J2327" s="8"/>
      <c r="K2327" s="8"/>
      <c r="L2327" s="9" t="s">
        <v>1574</v>
      </c>
      <c r="M2327" s="8"/>
    </row>
    <row r="2328" spans="1:13" x14ac:dyDescent="0.25">
      <c r="A2328" s="71" t="s">
        <v>4719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4720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4721</v>
      </c>
      <c r="B2330" s="67">
        <v>44920823878</v>
      </c>
      <c r="C2330" s="72" t="s">
        <v>4722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4723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4724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4725</v>
      </c>
      <c r="B2333" s="67">
        <v>8665698809</v>
      </c>
      <c r="C2333" s="72" t="s">
        <v>4726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4727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1423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4728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4729</v>
      </c>
      <c r="B2336" s="67">
        <v>37383675860</v>
      </c>
      <c r="C2336" s="72" t="s">
        <v>4730</v>
      </c>
      <c r="D2336" s="69">
        <v>37457320814</v>
      </c>
      <c r="E2336" s="9">
        <v>1824</v>
      </c>
      <c r="F2336" s="25">
        <v>43091</v>
      </c>
      <c r="G2336" s="70" t="s">
        <v>1423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4731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1423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4732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1423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4733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4734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4735</v>
      </c>
      <c r="B2341" s="67">
        <v>36394093882</v>
      </c>
      <c r="C2341" s="72" t="s">
        <v>4736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4737</v>
      </c>
      <c r="B2342" s="80">
        <v>38327155687</v>
      </c>
      <c r="C2342" s="81" t="s">
        <v>4738</v>
      </c>
      <c r="D2342" s="82">
        <v>20534089879</v>
      </c>
      <c r="E2342" s="47">
        <v>1824</v>
      </c>
      <c r="F2342" s="48">
        <v>43091</v>
      </c>
      <c r="G2342" s="83" t="s">
        <v>1437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4739</v>
      </c>
      <c r="B2343" s="67">
        <v>36553625875</v>
      </c>
      <c r="C2343" s="72" t="s">
        <v>4740</v>
      </c>
      <c r="D2343" s="69">
        <v>34615418850</v>
      </c>
      <c r="E2343" s="9">
        <v>608</v>
      </c>
      <c r="F2343" s="25">
        <v>43012</v>
      </c>
      <c r="G2343" s="70" t="s">
        <v>1423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4741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1423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4742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1423</v>
      </c>
      <c r="H2345" s="9"/>
      <c r="I2345" s="8"/>
      <c r="J2345" s="8"/>
      <c r="K2345" s="8"/>
      <c r="L2345" s="9" t="s">
        <v>1542</v>
      </c>
      <c r="M2345" s="8"/>
    </row>
    <row r="2346" spans="1:13" x14ac:dyDescent="0.25">
      <c r="A2346" s="13" t="s">
        <v>4743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1423</v>
      </c>
      <c r="H2346" s="9"/>
      <c r="I2346" s="8"/>
      <c r="J2346" s="8"/>
      <c r="K2346" s="8"/>
      <c r="L2346" s="9" t="s">
        <v>1564</v>
      </c>
      <c r="M2346" s="8"/>
    </row>
    <row r="2347" spans="1:13" x14ac:dyDescent="0.25">
      <c r="A2347" s="71" t="s">
        <v>4744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4745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1423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4746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1423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4747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1423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4748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1423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4749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4750</v>
      </c>
      <c r="B2353" s="67">
        <v>2267811863</v>
      </c>
      <c r="C2353" s="68" t="s">
        <v>4751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4752</v>
      </c>
      <c r="B2354" s="67">
        <v>4640546726</v>
      </c>
      <c r="C2354" s="72" t="s">
        <v>4753</v>
      </c>
      <c r="D2354" s="69">
        <v>72849215791</v>
      </c>
      <c r="E2354" s="9">
        <v>262</v>
      </c>
      <c r="F2354" s="25">
        <v>43160</v>
      </c>
      <c r="G2354" s="70" t="s">
        <v>1423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4754</v>
      </c>
      <c r="B2355" s="67">
        <v>11862093806</v>
      </c>
      <c r="C2355" s="18" t="s">
        <v>1533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4755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1423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4756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1423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4757</v>
      </c>
      <c r="B2358" s="67">
        <v>12983214842</v>
      </c>
      <c r="C2358" s="72" t="s">
        <v>4758</v>
      </c>
      <c r="D2358" s="69">
        <v>33776403802</v>
      </c>
      <c r="E2358" s="9">
        <v>85</v>
      </c>
      <c r="F2358" s="25">
        <v>43109</v>
      </c>
      <c r="G2358" s="70" t="s">
        <v>1423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4759</v>
      </c>
      <c r="B2359" s="67">
        <v>3343521507</v>
      </c>
      <c r="C2359" s="15" t="s">
        <v>4760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4761</v>
      </c>
      <c r="B2360" s="67">
        <v>41812689500</v>
      </c>
      <c r="C2360" s="72" t="s">
        <v>4762</v>
      </c>
      <c r="D2360" s="69">
        <v>14037047837</v>
      </c>
      <c r="E2360" s="9">
        <v>1106</v>
      </c>
      <c r="F2360" s="25">
        <v>42965</v>
      </c>
      <c r="G2360" s="70" t="s">
        <v>1423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4763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4764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1423</v>
      </c>
      <c r="H2362" s="9"/>
      <c r="I2362" s="8"/>
      <c r="J2362" s="8"/>
      <c r="K2362" s="8"/>
      <c r="L2362" s="9" t="s">
        <v>1542</v>
      </c>
      <c r="M2362" s="8"/>
    </row>
    <row r="2363" spans="1:13" x14ac:dyDescent="0.25">
      <c r="A2363" s="71" t="s">
        <v>4765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4766</v>
      </c>
      <c r="B2364" s="67">
        <v>45479391879</v>
      </c>
      <c r="C2364" s="30" t="s">
        <v>4767</v>
      </c>
      <c r="D2364" s="67">
        <v>35624185820</v>
      </c>
      <c r="E2364" s="9">
        <v>1350</v>
      </c>
      <c r="F2364" s="25">
        <v>43006</v>
      </c>
      <c r="G2364" s="70" t="s">
        <v>1423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4768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1437</v>
      </c>
      <c r="H2365" s="9"/>
      <c r="I2365" s="8"/>
      <c r="J2365" s="8"/>
      <c r="K2365" s="8"/>
      <c r="L2365" s="9" t="s">
        <v>1906</v>
      </c>
      <c r="M2365" s="8"/>
    </row>
    <row r="2366" spans="1:13" x14ac:dyDescent="0.25">
      <c r="A2366" s="15" t="s">
        <v>4769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1423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4770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4771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4772</v>
      </c>
      <c r="B2369" s="67">
        <v>36159577840</v>
      </c>
      <c r="C2369" s="72" t="s">
        <v>4773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4774</v>
      </c>
      <c r="B2370" s="67">
        <v>39308828842</v>
      </c>
      <c r="C2370" s="72" t="s">
        <v>4775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4776</v>
      </c>
      <c r="B2371" s="67">
        <v>6619801897</v>
      </c>
      <c r="C2371" s="29" t="s">
        <v>4777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4778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4779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1423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4780</v>
      </c>
      <c r="B2374" s="67">
        <v>36138056850</v>
      </c>
      <c r="C2374" s="72" t="s">
        <v>4781</v>
      </c>
      <c r="D2374" s="69">
        <v>56721897504</v>
      </c>
      <c r="E2374" s="9">
        <v>262</v>
      </c>
      <c r="F2374" s="25">
        <v>43160</v>
      </c>
      <c r="G2374" s="70" t="s">
        <v>1423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4782</v>
      </c>
      <c r="B2375" s="67">
        <v>22365509878</v>
      </c>
      <c r="C2375" s="72" t="s">
        <v>4783</v>
      </c>
      <c r="D2375" s="69">
        <v>9353681839</v>
      </c>
      <c r="E2375" s="9">
        <v>810</v>
      </c>
      <c r="F2375" s="25">
        <v>42915</v>
      </c>
      <c r="G2375" s="70" t="s">
        <v>1423</v>
      </c>
      <c r="H2375" s="9"/>
      <c r="I2375" s="8"/>
      <c r="J2375" s="8"/>
      <c r="K2375" s="8"/>
      <c r="L2375" s="9" t="s">
        <v>1542</v>
      </c>
      <c r="M2375" s="8"/>
    </row>
    <row r="2376" spans="1:13" x14ac:dyDescent="0.25">
      <c r="A2376" s="72" t="s">
        <v>4784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4785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1423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4786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4787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1423</v>
      </c>
      <c r="H2379" s="9"/>
      <c r="I2379" s="8"/>
      <c r="J2379" s="8"/>
      <c r="K2379" s="8"/>
      <c r="L2379" s="9" t="s">
        <v>1802</v>
      </c>
      <c r="M2379" s="8"/>
    </row>
    <row r="2380" spans="1:13" x14ac:dyDescent="0.25">
      <c r="A2380" s="71" t="s">
        <v>4788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1423</v>
      </c>
      <c r="H2380" s="9"/>
      <c r="I2380" s="8"/>
      <c r="J2380" s="8"/>
      <c r="K2380" s="8"/>
      <c r="L2380" s="9" t="s">
        <v>1574</v>
      </c>
      <c r="M2380" s="8"/>
    </row>
    <row r="2381" spans="1:13" x14ac:dyDescent="0.25">
      <c r="A2381" s="71" t="s">
        <v>4789</v>
      </c>
      <c r="B2381" s="67">
        <v>40878398856</v>
      </c>
      <c r="C2381" s="72" t="s">
        <v>4790</v>
      </c>
      <c r="D2381" s="69">
        <v>73226718568</v>
      </c>
      <c r="E2381" s="9">
        <v>262</v>
      </c>
      <c r="F2381" s="25">
        <v>43160</v>
      </c>
      <c r="G2381" s="70" t="s">
        <v>1423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4791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1423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4792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1423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4793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1423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4794</v>
      </c>
      <c r="B2385" s="67">
        <v>33475393387</v>
      </c>
      <c r="C2385" s="72" t="s">
        <v>4795</v>
      </c>
      <c r="D2385" s="69">
        <v>21580260306</v>
      </c>
      <c r="E2385" s="9">
        <v>292</v>
      </c>
      <c r="F2385" s="25">
        <v>43168</v>
      </c>
      <c r="G2385" s="70" t="s">
        <v>1423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4796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4797</v>
      </c>
      <c r="B2387" s="67">
        <v>15114386816</v>
      </c>
      <c r="C2387" s="29" t="s">
        <v>4798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4799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1423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4800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1423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4801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4802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4803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4804</v>
      </c>
      <c r="B2393" s="67">
        <v>38754982839</v>
      </c>
      <c r="C2393" s="72" t="s">
        <v>4805</v>
      </c>
      <c r="D2393" s="69">
        <v>34941494881</v>
      </c>
      <c r="E2393" s="9">
        <v>85</v>
      </c>
      <c r="F2393" s="25">
        <v>43109</v>
      </c>
      <c r="G2393" s="70" t="s">
        <v>1437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4806</v>
      </c>
      <c r="B2394" s="67">
        <v>33401168819</v>
      </c>
      <c r="C2394" s="72" t="s">
        <v>4807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4808</v>
      </c>
      <c r="B2395" s="67">
        <v>42116294843</v>
      </c>
      <c r="C2395" s="72" t="s">
        <v>4809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4810</v>
      </c>
      <c r="B2396" s="67">
        <v>12648968679</v>
      </c>
      <c r="C2396" s="72" t="s">
        <v>4811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4812</v>
      </c>
      <c r="B2397" s="67">
        <v>34361698899</v>
      </c>
      <c r="C2397" s="72" t="s">
        <v>4813</v>
      </c>
      <c r="D2397" s="69">
        <v>21266025839</v>
      </c>
      <c r="E2397" s="9">
        <v>1489</v>
      </c>
      <c r="F2397" s="25">
        <v>43038</v>
      </c>
      <c r="G2397" s="70" t="s">
        <v>1423</v>
      </c>
      <c r="H2397" s="9"/>
      <c r="I2397" s="8"/>
      <c r="J2397" s="8"/>
      <c r="K2397" s="8"/>
      <c r="L2397" s="9" t="s">
        <v>1564</v>
      </c>
      <c r="M2397" s="8"/>
    </row>
    <row r="2398" spans="1:13" x14ac:dyDescent="0.25">
      <c r="A2398" s="71" t="s">
        <v>4814</v>
      </c>
      <c r="B2398" s="67">
        <v>12835905812</v>
      </c>
      <c r="C2398" s="72" t="s">
        <v>4815</v>
      </c>
      <c r="D2398" s="69">
        <v>26821342890</v>
      </c>
      <c r="E2398" s="9">
        <v>262</v>
      </c>
      <c r="F2398" s="25">
        <v>43160</v>
      </c>
      <c r="G2398" s="70" t="s">
        <v>1429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4816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1423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4817</v>
      </c>
      <c r="B2400" s="67">
        <v>22713517826</v>
      </c>
      <c r="C2400" s="72" t="s">
        <v>4818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4819</v>
      </c>
      <c r="B2401" s="67">
        <v>28467390808</v>
      </c>
      <c r="C2401" s="72" t="s">
        <v>4820</v>
      </c>
      <c r="D2401" s="69">
        <v>90847547</v>
      </c>
      <c r="E2401" s="9">
        <v>810</v>
      </c>
      <c r="F2401" s="25">
        <v>42915</v>
      </c>
      <c r="G2401" s="70" t="s">
        <v>1423</v>
      </c>
      <c r="H2401" s="9"/>
      <c r="I2401" s="8"/>
      <c r="J2401" s="8"/>
      <c r="K2401" s="8"/>
      <c r="L2401" s="9" t="s">
        <v>1542</v>
      </c>
      <c r="M2401" s="8"/>
    </row>
    <row r="2402" spans="1:13" x14ac:dyDescent="0.25">
      <c r="A2402" s="71" t="s">
        <v>4821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1423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4822</v>
      </c>
      <c r="B2403" s="67">
        <v>32033541878</v>
      </c>
      <c r="C2403" s="72" t="s">
        <v>4823</v>
      </c>
      <c r="D2403" s="69">
        <v>19674006877</v>
      </c>
      <c r="E2403" s="9">
        <v>1752</v>
      </c>
      <c r="F2403" s="25">
        <v>43051</v>
      </c>
      <c r="G2403" s="70" t="s">
        <v>1423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4824</v>
      </c>
      <c r="B2404" s="67">
        <v>23241720896</v>
      </c>
      <c r="C2404" s="18" t="s">
        <v>4825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4826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4827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1423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4828</v>
      </c>
      <c r="B2407" s="67">
        <v>1889333360</v>
      </c>
      <c r="C2407" s="72" t="s">
        <v>4829</v>
      </c>
      <c r="D2407" s="69">
        <v>580003302</v>
      </c>
      <c r="E2407" s="9">
        <v>1241</v>
      </c>
      <c r="F2407" s="25">
        <v>42992</v>
      </c>
      <c r="G2407" s="70" t="s">
        <v>1423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4830</v>
      </c>
      <c r="B2408" s="67">
        <v>40321655800</v>
      </c>
      <c r="C2408" s="72" t="s">
        <v>4831</v>
      </c>
      <c r="D2408" s="69">
        <v>37378835803</v>
      </c>
      <c r="E2408" s="9">
        <v>810</v>
      </c>
      <c r="F2408" s="25">
        <v>42915</v>
      </c>
      <c r="G2408" s="70" t="s">
        <v>1423</v>
      </c>
      <c r="H2408" s="9"/>
      <c r="I2408" s="8"/>
      <c r="J2408" s="8"/>
      <c r="K2408" s="8"/>
      <c r="L2408" s="9" t="s">
        <v>1542</v>
      </c>
      <c r="M2408" s="8"/>
    </row>
    <row r="2409" spans="1:13" x14ac:dyDescent="0.25">
      <c r="A2409" s="14" t="s">
        <v>4832</v>
      </c>
      <c r="B2409" s="67">
        <v>5117256557</v>
      </c>
      <c r="C2409" s="72" t="s">
        <v>4833</v>
      </c>
      <c r="D2409" s="69">
        <v>5063737544</v>
      </c>
      <c r="E2409" s="9">
        <v>262</v>
      </c>
      <c r="F2409" s="25">
        <v>43160</v>
      </c>
      <c r="G2409" s="70" t="s">
        <v>1429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4834</v>
      </c>
      <c r="B2410" s="67">
        <v>21863985832</v>
      </c>
      <c r="C2410" s="72" t="s">
        <v>4835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4836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1423</v>
      </c>
      <c r="H2411" s="9"/>
      <c r="I2411" s="8"/>
      <c r="J2411" s="8"/>
      <c r="K2411" s="8"/>
      <c r="L2411" s="9" t="s">
        <v>1657</v>
      </c>
      <c r="M2411" s="8"/>
    </row>
    <row r="2412" spans="1:13" x14ac:dyDescent="0.25">
      <c r="A2412" s="18" t="s">
        <v>4837</v>
      </c>
      <c r="B2412" s="67">
        <v>31694477851</v>
      </c>
      <c r="C2412" s="18" t="s">
        <v>4838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4839</v>
      </c>
      <c r="B2413" s="67">
        <v>14690610827</v>
      </c>
      <c r="C2413" s="72" t="s">
        <v>4840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4841</v>
      </c>
      <c r="B2414" s="67">
        <v>1740803523</v>
      </c>
      <c r="C2414" s="72" t="s">
        <v>4842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4843</v>
      </c>
      <c r="B2415" s="67">
        <v>23328195840</v>
      </c>
      <c r="C2415" s="72" t="s">
        <v>4844</v>
      </c>
      <c r="D2415" s="69">
        <v>770249310</v>
      </c>
      <c r="E2415" s="9">
        <v>810</v>
      </c>
      <c r="F2415" s="25">
        <v>42915</v>
      </c>
      <c r="G2415" s="70" t="s">
        <v>1423</v>
      </c>
      <c r="H2415" s="9"/>
      <c r="I2415" s="8"/>
      <c r="J2415" s="8"/>
      <c r="K2415" s="8"/>
      <c r="L2415" s="9" t="s">
        <v>1542</v>
      </c>
      <c r="M2415" s="8"/>
    </row>
    <row r="2416" spans="1:13" x14ac:dyDescent="0.25">
      <c r="A2416" s="71" t="s">
        <v>4845</v>
      </c>
      <c r="B2416" s="67">
        <v>28082388862</v>
      </c>
      <c r="C2416" s="72" t="s">
        <v>4846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4847</v>
      </c>
      <c r="B2417" s="67">
        <v>43054747867</v>
      </c>
      <c r="C2417" s="29" t="s">
        <v>4848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4849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4850</v>
      </c>
      <c r="B2419" s="67">
        <v>89863704504</v>
      </c>
      <c r="C2419" s="72" t="s">
        <v>4851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4852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4853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1423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4854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4855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1423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4856</v>
      </c>
      <c r="B2424" s="67">
        <v>33538686823</v>
      </c>
      <c r="C2424" s="72" t="s">
        <v>4857</v>
      </c>
      <c r="D2424" s="69">
        <v>37104062858</v>
      </c>
      <c r="E2424" s="9">
        <v>810</v>
      </c>
      <c r="F2424" s="25">
        <v>42915</v>
      </c>
      <c r="G2424" s="9" t="s">
        <v>1423</v>
      </c>
      <c r="H2424" s="9"/>
      <c r="I2424" s="8"/>
      <c r="J2424" s="8"/>
      <c r="K2424" s="8"/>
      <c r="L2424" s="9" t="s">
        <v>1542</v>
      </c>
      <c r="M2424" s="8"/>
    </row>
    <row r="2425" spans="1:13" x14ac:dyDescent="0.25">
      <c r="A2425" s="18" t="s">
        <v>4858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4859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1423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4860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4861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1423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4862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1423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4863</v>
      </c>
      <c r="B2430" s="67"/>
      <c r="C2430" s="29" t="s">
        <v>1533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4864</v>
      </c>
      <c r="B2431" s="67">
        <v>39308964860</v>
      </c>
      <c r="C2431" s="72" t="s">
        <v>4865</v>
      </c>
      <c r="D2431" s="69">
        <v>39308963898</v>
      </c>
      <c r="E2431" s="9">
        <v>229</v>
      </c>
      <c r="F2431" s="25">
        <v>43151</v>
      </c>
      <c r="G2431" s="70" t="s">
        <v>1423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4866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1423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4867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1423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4868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4869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1423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4870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4871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4872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4873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1423</v>
      </c>
      <c r="H2439" s="9"/>
      <c r="I2439" s="8"/>
      <c r="J2439" s="8"/>
      <c r="K2439" s="8"/>
      <c r="L2439" s="9" t="s">
        <v>1574</v>
      </c>
      <c r="M2439" s="8"/>
    </row>
    <row r="2440" spans="1:13" x14ac:dyDescent="0.25">
      <c r="A2440" s="71" t="s">
        <v>4874</v>
      </c>
      <c r="B2440" s="67">
        <v>36344864818</v>
      </c>
      <c r="C2440" s="72" t="s">
        <v>4875</v>
      </c>
      <c r="D2440" s="69">
        <v>35601867810</v>
      </c>
      <c r="E2440" s="9">
        <v>810</v>
      </c>
      <c r="F2440" s="25">
        <v>42915</v>
      </c>
      <c r="G2440" s="70" t="s">
        <v>1423</v>
      </c>
      <c r="H2440" s="9"/>
      <c r="I2440" s="8"/>
      <c r="J2440" s="8"/>
      <c r="K2440" s="8"/>
      <c r="L2440" s="9" t="s">
        <v>1542</v>
      </c>
      <c r="M2440" s="8"/>
    </row>
    <row r="2441" spans="1:13" x14ac:dyDescent="0.25">
      <c r="A2441" s="29" t="s">
        <v>4876</v>
      </c>
      <c r="B2441" s="67"/>
      <c r="C2441" s="29" t="s">
        <v>1533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4877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1423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4878</v>
      </c>
      <c r="B2443" s="67">
        <v>23969560861</v>
      </c>
      <c r="C2443" s="72" t="s">
        <v>4879</v>
      </c>
      <c r="D2443" s="69">
        <v>16141701850</v>
      </c>
      <c r="E2443" s="9">
        <v>1267</v>
      </c>
      <c r="F2443" s="25">
        <v>42998</v>
      </c>
      <c r="G2443" s="70" t="s">
        <v>1423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4880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4881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1423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4882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1423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4883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4884</v>
      </c>
      <c r="B2448" s="67">
        <v>35193151817</v>
      </c>
      <c r="C2448" s="72" t="s">
        <v>4885</v>
      </c>
      <c r="D2448" s="69">
        <v>26084005829</v>
      </c>
      <c r="E2448" s="9">
        <v>229</v>
      </c>
      <c r="F2448" s="25">
        <v>43151</v>
      </c>
      <c r="G2448" s="70" t="s">
        <v>1423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4886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4887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4888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1423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4889</v>
      </c>
      <c r="B2452" s="67">
        <v>34674605857</v>
      </c>
      <c r="C2452" s="72" t="s">
        <v>4890</v>
      </c>
      <c r="D2452" s="69">
        <v>36771603830</v>
      </c>
      <c r="E2452" s="9">
        <v>810</v>
      </c>
      <c r="F2452" s="25">
        <v>42915</v>
      </c>
      <c r="G2452" s="70" t="s">
        <v>1423</v>
      </c>
      <c r="H2452" s="9"/>
      <c r="I2452" s="8"/>
      <c r="J2452" s="8"/>
      <c r="K2452" s="8"/>
      <c r="L2452" s="9" t="s">
        <v>1542</v>
      </c>
      <c r="M2452" s="8"/>
    </row>
    <row r="2453" spans="1:13" x14ac:dyDescent="0.25">
      <c r="A2453" s="71" t="s">
        <v>4891</v>
      </c>
      <c r="B2453" s="67">
        <v>33248807857</v>
      </c>
      <c r="C2453" s="72" t="s">
        <v>4892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4893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1423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4894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1423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4895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4896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1423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4897</v>
      </c>
      <c r="B2458" s="67">
        <v>7143855901</v>
      </c>
      <c r="C2458" s="18" t="s">
        <v>1533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4898</v>
      </c>
      <c r="B2459" s="67"/>
      <c r="C2459" s="29" t="s">
        <v>1533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4899</v>
      </c>
      <c r="B2460" s="67">
        <v>5365375505</v>
      </c>
      <c r="C2460" s="68" t="s">
        <v>4900</v>
      </c>
      <c r="D2460" s="69">
        <v>34658162857</v>
      </c>
      <c r="E2460" s="9">
        <v>1128</v>
      </c>
      <c r="F2460" s="25">
        <v>42972</v>
      </c>
      <c r="G2460" s="70" t="s">
        <v>1423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4901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4902</v>
      </c>
      <c r="B2462" s="67">
        <v>66691990404</v>
      </c>
      <c r="C2462" s="29" t="s">
        <v>4903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4904</v>
      </c>
      <c r="B2463" s="67">
        <v>60347000355</v>
      </c>
      <c r="C2463" s="72" t="s">
        <v>4905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4906</v>
      </c>
      <c r="B2464" s="67">
        <v>37467543808</v>
      </c>
      <c r="C2464" s="72" t="s">
        <v>4907</v>
      </c>
      <c r="D2464" s="69">
        <v>40552745804</v>
      </c>
      <c r="E2464" s="9">
        <v>229</v>
      </c>
      <c r="F2464" s="25">
        <v>43151</v>
      </c>
      <c r="G2464" s="70" t="s">
        <v>1423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4908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4909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4910</v>
      </c>
      <c r="B2467" s="67"/>
      <c r="C2467" s="18" t="s">
        <v>1533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4911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1423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4912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4913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4914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4915</v>
      </c>
      <c r="B2472" s="67"/>
      <c r="C2472" s="18" t="s">
        <v>1533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4916</v>
      </c>
      <c r="B2473" s="67">
        <v>34907942818</v>
      </c>
      <c r="C2473" s="72" t="s">
        <v>4917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4918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4919</v>
      </c>
      <c r="B2475" s="67">
        <v>40642684820</v>
      </c>
      <c r="C2475" s="72" t="s">
        <v>4920</v>
      </c>
      <c r="D2475" s="69">
        <v>43189527890</v>
      </c>
      <c r="E2475" s="9">
        <v>292</v>
      </c>
      <c r="F2475" s="25">
        <v>43168</v>
      </c>
      <c r="G2475" s="70" t="s">
        <v>1423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4921</v>
      </c>
      <c r="B2476" s="67">
        <v>36401343893</v>
      </c>
      <c r="C2476" s="72" t="s">
        <v>4922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1703</v>
      </c>
      <c r="M2476" s="8"/>
    </row>
    <row r="2477" spans="1:13" x14ac:dyDescent="0.25">
      <c r="A2477" s="15" t="s">
        <v>4923</v>
      </c>
      <c r="B2477" s="67">
        <v>10413301460</v>
      </c>
      <c r="C2477" s="72" t="s">
        <v>4924</v>
      </c>
      <c r="D2477" s="69">
        <v>10931047404</v>
      </c>
      <c r="E2477" s="9">
        <v>117</v>
      </c>
      <c r="F2477" s="25">
        <v>43117</v>
      </c>
      <c r="G2477" s="70" t="s">
        <v>1423</v>
      </c>
      <c r="H2477" s="9"/>
      <c r="I2477" s="8"/>
      <c r="J2477" s="8"/>
      <c r="K2477" s="8"/>
      <c r="L2477" s="9" t="s">
        <v>1574</v>
      </c>
      <c r="M2477" s="8"/>
    </row>
    <row r="2478" spans="1:13" x14ac:dyDescent="0.25">
      <c r="A2478" s="15" t="s">
        <v>4925</v>
      </c>
      <c r="B2478" s="67">
        <v>42030087866</v>
      </c>
      <c r="C2478" s="72" t="s">
        <v>4926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4927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4928</v>
      </c>
      <c r="B2480" s="67">
        <v>38302413801</v>
      </c>
      <c r="C2480" s="77" t="s">
        <v>4929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4930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1423</v>
      </c>
      <c r="H2481" s="9"/>
      <c r="I2481" s="8"/>
      <c r="J2481" s="8"/>
      <c r="K2481" s="8"/>
      <c r="L2481" s="9" t="s">
        <v>1542</v>
      </c>
      <c r="M2481" s="8"/>
    </row>
    <row r="2482" spans="1:13" x14ac:dyDescent="0.25">
      <c r="A2482" s="71" t="s">
        <v>4931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4932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1429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4933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1423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4934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1423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4935</v>
      </c>
      <c r="B2486" s="67">
        <v>34034498315</v>
      </c>
      <c r="C2486" s="72" t="s">
        <v>4936</v>
      </c>
      <c r="D2486" s="69">
        <v>30620015349</v>
      </c>
      <c r="E2486" s="9">
        <v>1470</v>
      </c>
      <c r="F2486" s="25">
        <v>43031</v>
      </c>
      <c r="G2486" s="70" t="s">
        <v>1423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4937</v>
      </c>
      <c r="B2487" s="67">
        <v>38027861810</v>
      </c>
      <c r="C2487" s="72" t="s">
        <v>4938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4939</v>
      </c>
      <c r="B2488" s="67">
        <v>34557275818</v>
      </c>
      <c r="C2488" s="72" t="s">
        <v>4940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4941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1423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4942</v>
      </c>
      <c r="B2490" s="67"/>
      <c r="C2490" s="29" t="s">
        <v>4943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4944</v>
      </c>
      <c r="B2491" s="67">
        <v>40298877830</v>
      </c>
      <c r="C2491" s="72" t="s">
        <v>4945</v>
      </c>
      <c r="D2491" s="69">
        <v>5551703576</v>
      </c>
      <c r="E2491" s="9">
        <v>262</v>
      </c>
      <c r="F2491" s="25">
        <v>43160</v>
      </c>
      <c r="G2491" s="70" t="s">
        <v>1423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4946</v>
      </c>
      <c r="B2492" s="67">
        <v>36295512895</v>
      </c>
      <c r="C2492" s="72" t="s">
        <v>4947</v>
      </c>
      <c r="D2492" s="69">
        <v>29129585805</v>
      </c>
      <c r="E2492" s="9">
        <v>292</v>
      </c>
      <c r="F2492" s="25">
        <v>43168</v>
      </c>
      <c r="G2492" s="70" t="s">
        <v>1423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4948</v>
      </c>
      <c r="B2493" s="67">
        <v>13188101830</v>
      </c>
      <c r="C2493" s="72" t="s">
        <v>4949</v>
      </c>
      <c r="D2493" s="69">
        <v>55072399320</v>
      </c>
      <c r="E2493" s="9">
        <v>1752</v>
      </c>
      <c r="F2493" s="25">
        <v>43051</v>
      </c>
      <c r="G2493" s="70" t="s">
        <v>1429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4950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4951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1423</v>
      </c>
      <c r="H2495" s="9"/>
      <c r="I2495" s="8"/>
      <c r="J2495" s="8"/>
      <c r="K2495" s="8"/>
      <c r="L2495" s="9" t="s">
        <v>1564</v>
      </c>
      <c r="M2495" s="8"/>
    </row>
    <row r="2496" spans="1:13" x14ac:dyDescent="0.25">
      <c r="A2496" s="71" t="s">
        <v>4952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4953</v>
      </c>
      <c r="B2497" s="67">
        <v>18468597864</v>
      </c>
      <c r="C2497" s="72" t="s">
        <v>4954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4955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1423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4956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1423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4957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1423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4958</v>
      </c>
      <c r="B2501" s="67">
        <v>23134916843</v>
      </c>
      <c r="C2501" s="72" t="s">
        <v>4959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4960</v>
      </c>
      <c r="B2502" s="67">
        <v>60939966468</v>
      </c>
      <c r="C2502" s="72" t="s">
        <v>4961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4962</v>
      </c>
      <c r="B2503" s="67"/>
      <c r="C2503" s="29" t="s">
        <v>4963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4964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1423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4965</v>
      </c>
      <c r="B2505" s="67">
        <v>33594407810</v>
      </c>
      <c r="C2505" s="68" t="s">
        <v>4966</v>
      </c>
      <c r="D2505" s="69">
        <v>5613611777</v>
      </c>
      <c r="E2505" s="9">
        <v>1128</v>
      </c>
      <c r="F2505" s="25">
        <v>42972</v>
      </c>
      <c r="G2505" s="70" t="s">
        <v>1423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4967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1423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4968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4969</v>
      </c>
      <c r="B2508" s="67">
        <v>38404903832</v>
      </c>
      <c r="C2508" s="72" t="s">
        <v>4970</v>
      </c>
      <c r="D2508" s="69">
        <v>35612360819</v>
      </c>
      <c r="E2508" s="9">
        <v>810</v>
      </c>
      <c r="F2508" s="25">
        <v>42915</v>
      </c>
      <c r="G2508" s="70" t="s">
        <v>1423</v>
      </c>
      <c r="H2508" s="9"/>
      <c r="I2508" s="8"/>
      <c r="J2508" s="8"/>
      <c r="K2508" s="8"/>
      <c r="L2508" s="9" t="s">
        <v>1542</v>
      </c>
      <c r="M2508" s="8"/>
    </row>
    <row r="2509" spans="1:13" x14ac:dyDescent="0.25">
      <c r="A2509" s="71" t="s">
        <v>4971</v>
      </c>
      <c r="B2509" s="67">
        <v>33198410843</v>
      </c>
      <c r="C2509" s="72" t="s">
        <v>4972</v>
      </c>
      <c r="D2509" s="69">
        <v>32853865843</v>
      </c>
      <c r="E2509" s="9">
        <v>810</v>
      </c>
      <c r="F2509" s="25">
        <v>42915</v>
      </c>
      <c r="G2509" s="70" t="s">
        <v>1423</v>
      </c>
      <c r="H2509" s="9"/>
      <c r="I2509" s="8"/>
      <c r="J2509" s="8"/>
      <c r="K2509" s="8"/>
      <c r="L2509" s="9" t="s">
        <v>1542</v>
      </c>
      <c r="M2509" s="8"/>
    </row>
    <row r="2510" spans="1:13" x14ac:dyDescent="0.25">
      <c r="A2510" s="71" t="s">
        <v>4973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1423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4974</v>
      </c>
      <c r="B2511" s="67">
        <v>46962268831</v>
      </c>
      <c r="C2511" s="72" t="s">
        <v>4975</v>
      </c>
      <c r="D2511" s="69">
        <v>40564058831</v>
      </c>
      <c r="E2511" s="9">
        <v>1752</v>
      </c>
      <c r="F2511" s="25">
        <v>43051</v>
      </c>
      <c r="G2511" s="70" t="s">
        <v>1437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4976</v>
      </c>
      <c r="B2512" s="67">
        <v>33337344860</v>
      </c>
      <c r="C2512" s="72" t="s">
        <v>4977</v>
      </c>
      <c r="D2512" s="69">
        <v>33436663867</v>
      </c>
      <c r="E2512" s="9">
        <v>810</v>
      </c>
      <c r="F2512" s="25">
        <v>42915</v>
      </c>
      <c r="G2512" s="70" t="s">
        <v>1423</v>
      </c>
      <c r="H2512" s="9"/>
      <c r="I2512" s="8"/>
      <c r="J2512" s="8"/>
      <c r="K2512" s="8"/>
      <c r="L2512" s="9" t="s">
        <v>1542</v>
      </c>
      <c r="M2512" s="8"/>
    </row>
    <row r="2513" spans="1:13" x14ac:dyDescent="0.25">
      <c r="A2513" s="14" t="s">
        <v>4978</v>
      </c>
      <c r="B2513" s="67">
        <v>11587518694</v>
      </c>
      <c r="C2513" s="72" t="s">
        <v>4979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4980</v>
      </c>
      <c r="B2514" s="67">
        <v>37957151809</v>
      </c>
      <c r="C2514" s="72" t="s">
        <v>4981</v>
      </c>
      <c r="D2514" s="69">
        <v>28342788814</v>
      </c>
      <c r="E2514" s="9">
        <v>1570</v>
      </c>
      <c r="F2514" s="25">
        <v>43077</v>
      </c>
      <c r="G2514" s="70" t="s">
        <v>1423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4982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1703</v>
      </c>
      <c r="M2515" s="8"/>
    </row>
    <row r="2516" spans="1:13" x14ac:dyDescent="0.25">
      <c r="A2516" s="29" t="s">
        <v>4983</v>
      </c>
      <c r="B2516" s="67">
        <v>35434226852</v>
      </c>
      <c r="C2516" s="29" t="s">
        <v>4984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4985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1423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4986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1423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4987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1423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4988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4989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4990</v>
      </c>
      <c r="B2522" s="67">
        <v>31989585809</v>
      </c>
      <c r="C2522" s="72" t="s">
        <v>4991</v>
      </c>
      <c r="D2522" s="69">
        <v>4312861919</v>
      </c>
      <c r="E2522" s="9">
        <v>1824</v>
      </c>
      <c r="F2522" s="25">
        <v>43091</v>
      </c>
      <c r="G2522" s="70" t="s">
        <v>1437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4992</v>
      </c>
      <c r="B2523" s="67">
        <v>30264611802</v>
      </c>
      <c r="C2523" s="29" t="s">
        <v>4993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4994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1423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4995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1423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4996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1423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4997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1423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4998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4999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5000</v>
      </c>
      <c r="B2530" s="67">
        <v>31117169880</v>
      </c>
      <c r="C2530" s="72" t="s">
        <v>5001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5002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1423</v>
      </c>
      <c r="H2531" s="9"/>
      <c r="I2531" s="8"/>
      <c r="J2531" s="8"/>
      <c r="K2531" s="8"/>
      <c r="L2531" s="9" t="s">
        <v>1574</v>
      </c>
      <c r="M2531" s="8"/>
    </row>
    <row r="2532" spans="1:13" x14ac:dyDescent="0.25">
      <c r="A2532" s="29" t="s">
        <v>5003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5004</v>
      </c>
      <c r="B2533" s="67">
        <v>34800386896</v>
      </c>
      <c r="C2533" s="72" t="s">
        <v>5005</v>
      </c>
      <c r="D2533" s="69">
        <v>33748068808</v>
      </c>
      <c r="E2533" s="9">
        <v>810</v>
      </c>
      <c r="F2533" s="25">
        <v>42915</v>
      </c>
      <c r="G2533" s="70" t="s">
        <v>1423</v>
      </c>
      <c r="H2533" s="9"/>
      <c r="I2533" s="8"/>
      <c r="J2533" s="8"/>
      <c r="K2533" s="8"/>
      <c r="L2533" s="9" t="s">
        <v>1542</v>
      </c>
      <c r="M2533" s="8"/>
    </row>
    <row r="2534" spans="1:13" x14ac:dyDescent="0.25">
      <c r="A2534" s="72" t="s">
        <v>5006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5007</v>
      </c>
      <c r="B2535" s="67">
        <v>38858760867</v>
      </c>
      <c r="C2535" s="68" t="s">
        <v>5008</v>
      </c>
      <c r="D2535" s="69">
        <v>37279553842</v>
      </c>
      <c r="E2535" s="9">
        <v>1128</v>
      </c>
      <c r="F2535" s="25">
        <v>42972</v>
      </c>
      <c r="G2535" s="70" t="s">
        <v>1423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5009</v>
      </c>
      <c r="B2536" s="67">
        <v>43621579800</v>
      </c>
      <c r="C2536" s="29" t="s">
        <v>1533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5010</v>
      </c>
      <c r="B2537" s="67">
        <v>37412192825</v>
      </c>
      <c r="C2537" s="72" t="s">
        <v>5011</v>
      </c>
      <c r="D2537" s="69">
        <v>27576214830</v>
      </c>
      <c r="E2537" s="9">
        <v>1489</v>
      </c>
      <c r="F2537" s="25">
        <v>43038</v>
      </c>
      <c r="G2537" s="70" t="s">
        <v>1423</v>
      </c>
      <c r="H2537" s="9"/>
      <c r="I2537" s="8"/>
      <c r="J2537" s="8"/>
      <c r="K2537" s="8"/>
      <c r="L2537" s="9" t="s">
        <v>1564</v>
      </c>
      <c r="M2537" s="8"/>
    </row>
    <row r="2538" spans="1:13" x14ac:dyDescent="0.25">
      <c r="A2538" s="71" t="s">
        <v>5012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1423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5013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1423</v>
      </c>
      <c r="H2539" s="9"/>
      <c r="I2539" s="8"/>
      <c r="J2539" s="8"/>
      <c r="K2539" s="8"/>
      <c r="L2539" s="9" t="s">
        <v>1542</v>
      </c>
      <c r="M2539" s="8"/>
    </row>
    <row r="2540" spans="1:13" x14ac:dyDescent="0.25">
      <c r="A2540" s="71" t="s">
        <v>5014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5015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5016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5017</v>
      </c>
      <c r="B2543" s="67">
        <v>36613563803</v>
      </c>
      <c r="C2543" s="72" t="s">
        <v>5018</v>
      </c>
      <c r="D2543" s="69">
        <v>27798369899</v>
      </c>
      <c r="E2543" s="9">
        <v>292</v>
      </c>
      <c r="F2543" s="25">
        <v>43168</v>
      </c>
      <c r="G2543" s="70" t="s">
        <v>1423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5019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5020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1423</v>
      </c>
      <c r="H2545" s="9"/>
      <c r="I2545" s="8"/>
      <c r="J2545" s="8"/>
      <c r="K2545" s="8"/>
      <c r="L2545" s="9" t="s">
        <v>1542</v>
      </c>
      <c r="M2545" s="8"/>
    </row>
    <row r="2546" spans="1:13" ht="30" x14ac:dyDescent="0.25">
      <c r="A2546" s="91" t="s">
        <v>5021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1423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5022</v>
      </c>
      <c r="B2547" s="67">
        <v>2950068545</v>
      </c>
      <c r="C2547" s="15" t="s">
        <v>5023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5024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1423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5025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1429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5026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5027</v>
      </c>
      <c r="B2551" s="67">
        <v>44618522453</v>
      </c>
      <c r="C2551" s="68" t="s">
        <v>5028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5029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1423</v>
      </c>
      <c r="H2552" s="9"/>
      <c r="I2552" s="8"/>
      <c r="J2552" s="8"/>
      <c r="K2552" s="8"/>
      <c r="L2552" s="9" t="s">
        <v>1574</v>
      </c>
      <c r="M2552" s="8"/>
    </row>
    <row r="2553" spans="1:13" x14ac:dyDescent="0.25">
      <c r="A2553" s="71" t="s">
        <v>5030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1423</v>
      </c>
      <c r="H2553" s="9"/>
      <c r="I2553" s="8"/>
      <c r="J2553" s="8"/>
      <c r="K2553" s="8"/>
      <c r="L2553" s="9" t="s">
        <v>1657</v>
      </c>
      <c r="M2553" s="8"/>
    </row>
    <row r="2554" spans="1:13" x14ac:dyDescent="0.25">
      <c r="A2554" s="71" t="s">
        <v>5031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5032</v>
      </c>
      <c r="B2555" s="67">
        <v>26333731862</v>
      </c>
      <c r="C2555" s="72" t="s">
        <v>5033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5034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1703</v>
      </c>
      <c r="M2556" s="8"/>
    </row>
    <row r="2557" spans="1:13" x14ac:dyDescent="0.25">
      <c r="A2557" s="71" t="s">
        <v>5035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1423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5036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1423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5037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1423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5038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1423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5039</v>
      </c>
      <c r="B2561" s="67">
        <v>2035513545</v>
      </c>
      <c r="C2561" s="77" t="s">
        <v>5040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5041</v>
      </c>
      <c r="B2562" s="67">
        <v>32375610881</v>
      </c>
      <c r="C2562" s="72" t="s">
        <v>5042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5043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1423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5044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1423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5045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5046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1423</v>
      </c>
      <c r="H2566" s="9"/>
      <c r="I2566" s="8"/>
      <c r="J2566" s="8"/>
      <c r="K2566" s="8"/>
      <c r="L2566" s="9" t="s">
        <v>1564</v>
      </c>
      <c r="M2566" s="8"/>
    </row>
    <row r="2567" spans="1:13" x14ac:dyDescent="0.25">
      <c r="A2567" s="71" t="s">
        <v>5047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1423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5048</v>
      </c>
      <c r="B2568" s="67">
        <v>28040254892</v>
      </c>
      <c r="C2568" s="72" t="s">
        <v>5049</v>
      </c>
      <c r="D2568" s="69">
        <v>27414145808</v>
      </c>
      <c r="E2568" s="9">
        <v>810</v>
      </c>
      <c r="F2568" s="25">
        <v>42915</v>
      </c>
      <c r="G2568" s="70" t="s">
        <v>1423</v>
      </c>
      <c r="H2568" s="25">
        <v>42921</v>
      </c>
      <c r="I2568" s="8"/>
      <c r="J2568" s="8"/>
      <c r="K2568" s="8"/>
      <c r="L2568" s="9" t="s">
        <v>1542</v>
      </c>
      <c r="M2568" s="8"/>
    </row>
    <row r="2569" spans="1:13" x14ac:dyDescent="0.25">
      <c r="A2569" s="71" t="s">
        <v>5050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1423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5051</v>
      </c>
      <c r="B2570" s="67">
        <v>19585439859</v>
      </c>
      <c r="C2570" s="72" t="s">
        <v>5052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5053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1423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5054</v>
      </c>
      <c r="B2572" s="67">
        <v>33167057831</v>
      </c>
      <c r="C2572" s="18" t="s">
        <v>1533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5055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1423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5056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1423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5057</v>
      </c>
      <c r="B2575" s="67">
        <v>41360953841</v>
      </c>
      <c r="C2575" s="72" t="s">
        <v>5058</v>
      </c>
      <c r="D2575" s="69">
        <v>39212484859</v>
      </c>
      <c r="E2575" s="9">
        <v>117</v>
      </c>
      <c r="F2575" s="25">
        <v>43117</v>
      </c>
      <c r="G2575" s="70" t="s">
        <v>1423</v>
      </c>
      <c r="H2575" s="25">
        <v>43151</v>
      </c>
      <c r="I2575" s="8"/>
      <c r="J2575" s="8"/>
      <c r="K2575" s="8"/>
      <c r="L2575" s="9" t="s">
        <v>1574</v>
      </c>
      <c r="M2575" s="8"/>
    </row>
    <row r="2576" spans="1:13" x14ac:dyDescent="0.25">
      <c r="A2576" s="15" t="s">
        <v>5059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1423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5060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1423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5061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1423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5062</v>
      </c>
      <c r="B2579" s="67"/>
      <c r="C2579" s="29" t="s">
        <v>1533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5063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5064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1423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5065</v>
      </c>
      <c r="B2582" s="67">
        <v>39407601889</v>
      </c>
      <c r="C2582" s="72" t="s">
        <v>5066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5067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1423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5068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5069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1423</v>
      </c>
      <c r="H2585" s="25">
        <v>42921</v>
      </c>
      <c r="I2585" s="8"/>
      <c r="J2585" s="8"/>
      <c r="K2585" s="8"/>
      <c r="L2585" s="9" t="s">
        <v>1542</v>
      </c>
      <c r="M2585" s="8"/>
    </row>
    <row r="2586" spans="1:13" x14ac:dyDescent="0.25">
      <c r="A2586" s="71" t="s">
        <v>5070</v>
      </c>
      <c r="B2586" s="67">
        <v>40831453826</v>
      </c>
      <c r="C2586" s="72" t="s">
        <v>5071</v>
      </c>
      <c r="D2586" s="69">
        <v>41787837858</v>
      </c>
      <c r="E2586" s="9">
        <v>1214</v>
      </c>
      <c r="F2586" s="25">
        <v>42989</v>
      </c>
      <c r="G2586" s="70" t="s">
        <v>1423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5072</v>
      </c>
      <c r="B2587" s="67">
        <v>23043868811</v>
      </c>
      <c r="C2587" s="18" t="s">
        <v>5073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5074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1423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5075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1423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5076</v>
      </c>
      <c r="B2590" s="67">
        <v>11739082850</v>
      </c>
      <c r="C2590" s="72" t="s">
        <v>5077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5078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1423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5079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1423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5080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1423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5081</v>
      </c>
      <c r="B2594" s="67">
        <v>36782552809</v>
      </c>
      <c r="C2594" s="72" t="s">
        <v>5082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5083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5084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1423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5085</v>
      </c>
      <c r="B2597" s="67">
        <v>28249902874</v>
      </c>
      <c r="C2597" s="29" t="s">
        <v>5086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5087</v>
      </c>
      <c r="B2598" s="67">
        <v>36169238836</v>
      </c>
      <c r="C2598" s="77" t="s">
        <v>5088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5089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1423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5090</v>
      </c>
      <c r="B2600" s="67">
        <v>30886267870</v>
      </c>
      <c r="C2600" s="29" t="s">
        <v>5091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5092</v>
      </c>
      <c r="B2601" s="67"/>
      <c r="C2601" s="29" t="s">
        <v>5093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5094</v>
      </c>
      <c r="B2602" s="67">
        <v>26107569847</v>
      </c>
      <c r="C2602" s="77" t="s">
        <v>5095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5096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1423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5097</v>
      </c>
      <c r="B2604" s="67">
        <v>13516251875</v>
      </c>
      <c r="C2604" s="68" t="s">
        <v>5098</v>
      </c>
      <c r="D2604" s="69">
        <v>10146756851</v>
      </c>
      <c r="E2604" s="9">
        <v>1214</v>
      </c>
      <c r="F2604" s="25">
        <v>42989</v>
      </c>
      <c r="G2604" s="70" t="s">
        <v>1423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5099</v>
      </c>
      <c r="B2605" s="67">
        <v>3597715486</v>
      </c>
      <c r="C2605" s="72" t="s">
        <v>5100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5101</v>
      </c>
      <c r="B2606" s="67">
        <v>1563161532</v>
      </c>
      <c r="C2606" s="68" t="s">
        <v>5102</v>
      </c>
      <c r="D2606" s="69">
        <v>92557732591</v>
      </c>
      <c r="E2606" s="9">
        <v>1128</v>
      </c>
      <c r="F2606" s="25">
        <v>42972</v>
      </c>
      <c r="G2606" s="70" t="s">
        <v>1423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5103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5104</v>
      </c>
      <c r="B2608" s="67">
        <v>31914362861</v>
      </c>
      <c r="C2608" s="72" t="s">
        <v>5105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1703</v>
      </c>
      <c r="M2608" s="8"/>
    </row>
    <row r="2609" spans="1:13" x14ac:dyDescent="0.25">
      <c r="A2609" s="18" t="s">
        <v>5106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5107</v>
      </c>
      <c r="B2610" s="67">
        <v>35218693855</v>
      </c>
      <c r="C2610" s="72" t="s">
        <v>5108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5109</v>
      </c>
      <c r="B2611" s="67">
        <v>30947166874</v>
      </c>
      <c r="C2611" s="72" t="s">
        <v>5110</v>
      </c>
      <c r="D2611" s="69">
        <v>1304805506</v>
      </c>
      <c r="E2611" s="9">
        <v>1241</v>
      </c>
      <c r="F2611" s="25">
        <v>42992</v>
      </c>
      <c r="G2611" s="70" t="s">
        <v>1423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5111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5112</v>
      </c>
      <c r="B2613" s="67">
        <v>3632265593</v>
      </c>
      <c r="C2613" s="72" t="s">
        <v>5113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5114</v>
      </c>
      <c r="B2614" s="67">
        <v>9500687801</v>
      </c>
      <c r="C2614" s="77" t="s">
        <v>5115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1703</v>
      </c>
      <c r="M2614" s="8"/>
    </row>
    <row r="2615" spans="1:13" x14ac:dyDescent="0.25">
      <c r="A2615" s="71" t="s">
        <v>5116</v>
      </c>
      <c r="B2615" s="67">
        <v>78808405400</v>
      </c>
      <c r="C2615" s="72" t="s">
        <v>5117</v>
      </c>
      <c r="D2615" s="69">
        <v>6840084400</v>
      </c>
      <c r="E2615" s="9">
        <v>1824</v>
      </c>
      <c r="F2615" s="25">
        <v>43091</v>
      </c>
      <c r="G2615" s="70" t="s">
        <v>1423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5118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1423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5119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5120</v>
      </c>
      <c r="B2618" s="67">
        <v>37500289820</v>
      </c>
      <c r="C2618" s="68" t="s">
        <v>5121</v>
      </c>
      <c r="D2618" s="69">
        <v>26607571867</v>
      </c>
      <c r="E2618" s="9">
        <v>1350</v>
      </c>
      <c r="F2618" s="25">
        <v>43006</v>
      </c>
      <c r="G2618" s="70" t="s">
        <v>1423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5122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5123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1423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5124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5125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1423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5126</v>
      </c>
      <c r="B2623" s="67">
        <v>8192130800</v>
      </c>
      <c r="C2623" s="72" t="s">
        <v>5127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5128</v>
      </c>
      <c r="B2624" s="67">
        <v>26853070879</v>
      </c>
      <c r="C2624" s="18" t="s">
        <v>5129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5130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1423</v>
      </c>
      <c r="H2625" s="25">
        <v>43027</v>
      </c>
      <c r="I2625" s="8"/>
      <c r="J2625" s="8"/>
      <c r="K2625" s="8"/>
      <c r="L2625" s="9" t="s">
        <v>1657</v>
      </c>
      <c r="M2625" s="8"/>
    </row>
    <row r="2626" spans="1:13" x14ac:dyDescent="0.25">
      <c r="A2626" s="13" t="s">
        <v>5131</v>
      </c>
      <c r="B2626" s="67">
        <v>27440063864</v>
      </c>
      <c r="C2626" s="68" t="s">
        <v>5132</v>
      </c>
      <c r="D2626" s="69">
        <v>66533287400</v>
      </c>
      <c r="E2626" s="9">
        <v>1241</v>
      </c>
      <c r="F2626" s="25">
        <v>42992</v>
      </c>
      <c r="G2626" s="70" t="s">
        <v>1423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5133</v>
      </c>
      <c r="B2627" s="67">
        <v>32362879852</v>
      </c>
      <c r="C2627" s="72" t="s">
        <v>5134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1703</v>
      </c>
      <c r="M2627" s="8"/>
    </row>
    <row r="2628" spans="1:13" x14ac:dyDescent="0.25">
      <c r="A2628" s="15" t="s">
        <v>5135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1423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5136</v>
      </c>
      <c r="B2629" s="67">
        <v>37904123843</v>
      </c>
      <c r="C2629" s="72" t="s">
        <v>5137</v>
      </c>
      <c r="D2629" s="69">
        <v>16565739897</v>
      </c>
      <c r="E2629" s="9">
        <v>292</v>
      </c>
      <c r="F2629" s="25">
        <v>43168</v>
      </c>
      <c r="G2629" s="70" t="s">
        <v>1423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5138</v>
      </c>
      <c r="B2630" s="67">
        <v>30775860883</v>
      </c>
      <c r="C2630" s="72" t="s">
        <v>5139</v>
      </c>
      <c r="D2630" s="69">
        <v>34227894808</v>
      </c>
      <c r="E2630" s="9">
        <v>1359</v>
      </c>
      <c r="F2630" s="25">
        <v>43006</v>
      </c>
      <c r="G2630" s="70" t="s">
        <v>1423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5140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1423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5141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1423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5142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1423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5143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1423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5144</v>
      </c>
      <c r="B2635" s="67">
        <v>29287401802</v>
      </c>
      <c r="C2635" s="72" t="s">
        <v>5145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5023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1423</v>
      </c>
      <c r="H2636" s="25">
        <v>43151</v>
      </c>
      <c r="I2636" s="8"/>
      <c r="J2636" s="8"/>
      <c r="K2636" s="8"/>
      <c r="L2636" s="9" t="s">
        <v>1574</v>
      </c>
      <c r="M2636" s="8"/>
    </row>
    <row r="2637" spans="1:13" x14ac:dyDescent="0.25">
      <c r="A2637" s="71" t="s">
        <v>5146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5147</v>
      </c>
      <c r="B2638" s="67">
        <v>36051425837</v>
      </c>
      <c r="C2638" s="77" t="s">
        <v>5148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5149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1423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5150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1703</v>
      </c>
      <c r="M2640" s="8"/>
    </row>
    <row r="2641" spans="1:13" x14ac:dyDescent="0.25">
      <c r="A2641" s="72" t="s">
        <v>5151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5152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1423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5153</v>
      </c>
      <c r="B2643" s="67">
        <v>3212055375</v>
      </c>
      <c r="C2643" s="77" t="s">
        <v>5154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5155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1423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5156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1423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5157</v>
      </c>
      <c r="B2646" s="67">
        <v>11452168890</v>
      </c>
      <c r="C2646" s="72" t="s">
        <v>5158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5159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5160</v>
      </c>
      <c r="B2648" s="67">
        <v>31856157865</v>
      </c>
      <c r="C2648" s="72" t="s">
        <v>5161</v>
      </c>
      <c r="D2648" s="69">
        <v>94552967568</v>
      </c>
      <c r="E2648" s="9">
        <v>810</v>
      </c>
      <c r="F2648" s="25">
        <v>42915</v>
      </c>
      <c r="G2648" s="70" t="s">
        <v>1423</v>
      </c>
      <c r="H2648" s="25">
        <v>42921</v>
      </c>
      <c r="I2648" s="8"/>
      <c r="J2648" s="8"/>
      <c r="K2648" s="8"/>
      <c r="L2648" s="9" t="s">
        <v>1542</v>
      </c>
      <c r="M2648" s="8"/>
    </row>
    <row r="2649" spans="1:13" x14ac:dyDescent="0.25">
      <c r="A2649" s="71" t="s">
        <v>5162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1423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5163</v>
      </c>
      <c r="B2650" s="67">
        <v>37478827810</v>
      </c>
      <c r="C2650" s="72" t="s">
        <v>5164</v>
      </c>
      <c r="D2650" s="69">
        <v>37591131842</v>
      </c>
      <c r="E2650" s="9">
        <v>292</v>
      </c>
      <c r="F2650" s="25">
        <v>43168</v>
      </c>
      <c r="G2650" s="70" t="s">
        <v>1423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5165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1423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5166</v>
      </c>
      <c r="B2652" s="67">
        <v>23465596870</v>
      </c>
      <c r="C2652" s="72" t="s">
        <v>5167</v>
      </c>
      <c r="D2652" s="69">
        <v>23522451848</v>
      </c>
      <c r="E2652" s="9">
        <v>292</v>
      </c>
      <c r="F2652" s="25">
        <v>43168</v>
      </c>
      <c r="G2652" s="70" t="s">
        <v>1423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5168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1703</v>
      </c>
      <c r="M2653" s="8"/>
    </row>
    <row r="2654" spans="1:13" x14ac:dyDescent="0.25">
      <c r="A2654" s="73" t="s">
        <v>5169</v>
      </c>
      <c r="B2654" s="67">
        <v>34274784835</v>
      </c>
      <c r="C2654" s="72" t="s">
        <v>5170</v>
      </c>
      <c r="D2654" s="69">
        <v>19379885890</v>
      </c>
      <c r="E2654" s="9">
        <v>810</v>
      </c>
      <c r="F2654" s="25">
        <v>42915</v>
      </c>
      <c r="G2654" s="70" t="s">
        <v>1423</v>
      </c>
      <c r="H2654" s="25">
        <v>42921</v>
      </c>
      <c r="I2654" s="8"/>
      <c r="J2654" s="8"/>
      <c r="K2654" s="8"/>
      <c r="L2654" s="9" t="s">
        <v>1542</v>
      </c>
      <c r="M2654" s="8"/>
    </row>
    <row r="2655" spans="1:13" x14ac:dyDescent="0.25">
      <c r="A2655" s="71" t="s">
        <v>5171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1423</v>
      </c>
      <c r="H2655" s="25">
        <v>42921</v>
      </c>
      <c r="I2655" s="8"/>
      <c r="J2655" s="8"/>
      <c r="K2655" s="8"/>
      <c r="L2655" s="9" t="s">
        <v>1542</v>
      </c>
      <c r="M2655" s="8"/>
    </row>
    <row r="2656" spans="1:13" x14ac:dyDescent="0.25">
      <c r="A2656" s="71" t="s">
        <v>5172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1423</v>
      </c>
      <c r="H2656" s="25">
        <v>42921</v>
      </c>
      <c r="I2656" s="8"/>
      <c r="J2656" s="8"/>
      <c r="K2656" s="8"/>
      <c r="L2656" s="9" t="s">
        <v>1542</v>
      </c>
      <c r="M2656" s="8"/>
    </row>
    <row r="2657" spans="1:13" x14ac:dyDescent="0.25">
      <c r="A2657" s="71" t="s">
        <v>5173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1423</v>
      </c>
      <c r="H2657" s="25">
        <v>43151</v>
      </c>
      <c r="I2657" s="8"/>
      <c r="J2657" s="8"/>
      <c r="K2657" s="8"/>
      <c r="L2657" s="9" t="s">
        <v>1574</v>
      </c>
      <c r="M2657" s="8"/>
    </row>
    <row r="2658" spans="1:13" x14ac:dyDescent="0.25">
      <c r="A2658" s="71" t="s">
        <v>5174</v>
      </c>
      <c r="B2658" s="67">
        <v>41491764856</v>
      </c>
      <c r="C2658" s="72" t="s">
        <v>5175</v>
      </c>
      <c r="D2658" s="69">
        <v>91076447520</v>
      </c>
      <c r="E2658" s="9">
        <v>292</v>
      </c>
      <c r="F2658" s="25">
        <v>43168</v>
      </c>
      <c r="G2658" s="70" t="s">
        <v>1423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5176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1423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5177</v>
      </c>
      <c r="B2660" s="67">
        <v>32962624820</v>
      </c>
      <c r="C2660" s="72" t="s">
        <v>5178</v>
      </c>
      <c r="D2660" s="69">
        <v>3430918871</v>
      </c>
      <c r="E2660" s="9"/>
      <c r="F2660" s="25"/>
      <c r="G2660" s="70" t="s">
        <v>1423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5179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1429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5180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5181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5182</v>
      </c>
      <c r="B2664" s="67" t="s">
        <v>5183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5184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1423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5185</v>
      </c>
      <c r="B2666" s="67">
        <v>99048957753</v>
      </c>
      <c r="C2666" s="29" t="s">
        <v>5186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5187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5188</v>
      </c>
      <c r="B2668" s="67">
        <v>11234152851</v>
      </c>
      <c r="C2668" s="72" t="s">
        <v>5189</v>
      </c>
      <c r="D2668" s="69">
        <v>11353668886</v>
      </c>
      <c r="E2668" s="9">
        <v>117</v>
      </c>
      <c r="F2668" s="25">
        <v>43117</v>
      </c>
      <c r="G2668" s="70" t="s">
        <v>1423</v>
      </c>
      <c r="H2668" s="25">
        <v>43151</v>
      </c>
      <c r="I2668" s="8"/>
      <c r="J2668" s="8"/>
      <c r="K2668" s="8"/>
      <c r="L2668" s="9" t="s">
        <v>1574</v>
      </c>
      <c r="M2668" s="8"/>
    </row>
    <row r="2669" spans="1:13" x14ac:dyDescent="0.25">
      <c r="A2669" s="14" t="s">
        <v>5190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5191</v>
      </c>
      <c r="B2670" s="67">
        <v>39109326812</v>
      </c>
      <c r="C2670" s="29" t="s">
        <v>5192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5193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1423</v>
      </c>
      <c r="H2671" s="25">
        <v>42921</v>
      </c>
      <c r="I2671" s="8"/>
      <c r="J2671" s="8"/>
      <c r="K2671" s="8"/>
      <c r="L2671" s="9" t="s">
        <v>1542</v>
      </c>
      <c r="M2671" s="8"/>
    </row>
    <row r="2672" spans="1:13" x14ac:dyDescent="0.25">
      <c r="A2672" s="71" t="s">
        <v>5194</v>
      </c>
      <c r="B2672" s="67">
        <v>33211970819</v>
      </c>
      <c r="C2672" s="72" t="s">
        <v>5195</v>
      </c>
      <c r="D2672" s="69">
        <v>22546816802</v>
      </c>
      <c r="E2672" s="9">
        <v>810</v>
      </c>
      <c r="F2672" s="25">
        <v>42915</v>
      </c>
      <c r="G2672" s="70" t="s">
        <v>1423</v>
      </c>
      <c r="H2672" s="25">
        <v>42921</v>
      </c>
      <c r="I2672" s="8"/>
      <c r="J2672" s="8"/>
      <c r="K2672" s="8"/>
      <c r="L2672" s="9" t="s">
        <v>1542</v>
      </c>
      <c r="M2672" s="8"/>
    </row>
    <row r="2673" spans="1:13" x14ac:dyDescent="0.25">
      <c r="A2673" s="71" t="s">
        <v>5196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1423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5197</v>
      </c>
      <c r="B2674" s="67">
        <v>45170442890</v>
      </c>
      <c r="C2674" s="18" t="s">
        <v>1533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5198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1423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5199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1423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5200</v>
      </c>
      <c r="B2677" s="67"/>
      <c r="C2677" s="71" t="s">
        <v>5201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5202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5203</v>
      </c>
      <c r="B2679" s="67"/>
      <c r="C2679" s="29" t="s">
        <v>1533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5204</v>
      </c>
      <c r="B2680" s="67">
        <v>1846996490</v>
      </c>
      <c r="C2680" s="72" t="s">
        <v>5205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5206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1423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5207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1423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5208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1423</v>
      </c>
      <c r="H2683" s="25">
        <v>43027</v>
      </c>
      <c r="I2683" s="8"/>
      <c r="J2683" s="8"/>
      <c r="K2683" s="8"/>
      <c r="L2683" s="9" t="s">
        <v>1657</v>
      </c>
      <c r="M2683" s="8"/>
    </row>
    <row r="2684" spans="1:13" x14ac:dyDescent="0.25">
      <c r="A2684" s="13" t="s">
        <v>5209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1423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5210</v>
      </c>
      <c r="B2685" s="67"/>
      <c r="C2685" s="29" t="s">
        <v>1533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5211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1423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5212</v>
      </c>
      <c r="B2687" s="67">
        <v>18033634871</v>
      </c>
      <c r="C2687" s="72" t="s">
        <v>5213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5214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5215</v>
      </c>
      <c r="B2689" s="67">
        <v>16155105839</v>
      </c>
      <c r="C2689" s="72" t="s">
        <v>5216</v>
      </c>
      <c r="D2689" s="69">
        <v>53581717468</v>
      </c>
      <c r="E2689" s="9">
        <v>1359</v>
      </c>
      <c r="F2689" s="25">
        <v>43006</v>
      </c>
      <c r="G2689" s="70" t="s">
        <v>1423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5217</v>
      </c>
      <c r="B2690" s="67">
        <v>33244692877</v>
      </c>
      <c r="C2690" s="72" t="s">
        <v>5218</v>
      </c>
      <c r="D2690" s="69">
        <v>7582246802</v>
      </c>
      <c r="E2690" s="9">
        <v>1417</v>
      </c>
      <c r="F2690" s="25">
        <v>43017</v>
      </c>
      <c r="G2690" s="70" t="s">
        <v>1423</v>
      </c>
      <c r="H2690" s="25">
        <v>43027</v>
      </c>
      <c r="I2690" s="8"/>
      <c r="J2690" s="8"/>
      <c r="K2690" s="8"/>
      <c r="L2690" s="9" t="s">
        <v>1657</v>
      </c>
      <c r="M2690" s="8"/>
    </row>
    <row r="2691" spans="1:13" x14ac:dyDescent="0.25">
      <c r="A2691" s="71" t="s">
        <v>5219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5220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5221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5222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5223</v>
      </c>
      <c r="B2695" s="67">
        <v>8715634795</v>
      </c>
      <c r="C2695" s="72" t="s">
        <v>5224</v>
      </c>
      <c r="D2695" s="69">
        <v>30386378827</v>
      </c>
      <c r="E2695" s="9">
        <v>1106</v>
      </c>
      <c r="F2695" s="25">
        <v>42965</v>
      </c>
      <c r="G2695" s="70" t="s">
        <v>1423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5225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1423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5226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1423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5227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5228</v>
      </c>
      <c r="B2699" s="67">
        <v>85941933517</v>
      </c>
      <c r="C2699" s="72" t="s">
        <v>5229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5230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5231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5232</v>
      </c>
      <c r="B2702" s="67"/>
      <c r="C2702" s="18" t="s">
        <v>1533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5233</v>
      </c>
      <c r="B2703" s="67">
        <v>39766945845</v>
      </c>
      <c r="C2703" s="72" t="s">
        <v>5234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5235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1423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5236</v>
      </c>
      <c r="B2705" s="67">
        <v>16374846826</v>
      </c>
      <c r="C2705" s="72" t="s">
        <v>5237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5238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5239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1423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5240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1423</v>
      </c>
      <c r="H2708" s="9"/>
      <c r="I2708" s="8"/>
      <c r="J2708" s="8"/>
      <c r="K2708" s="8"/>
      <c r="L2708" s="9" t="s">
        <v>1802</v>
      </c>
      <c r="M2708" s="8"/>
    </row>
    <row r="2709" spans="1:13" x14ac:dyDescent="0.25">
      <c r="A2709" s="71" t="s">
        <v>5241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1423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5242</v>
      </c>
      <c r="B2710" s="67">
        <v>14337129898</v>
      </c>
      <c r="C2710" s="77" t="s">
        <v>5243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5244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1423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5245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1423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5246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5247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5248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1423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5249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5250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5251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1437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5252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1423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5253</v>
      </c>
      <c r="B2720" s="67">
        <v>38482003844</v>
      </c>
      <c r="C2720" s="72" t="s">
        <v>5254</v>
      </c>
      <c r="D2720" s="69">
        <v>34337869840</v>
      </c>
      <c r="E2720" s="9">
        <v>117</v>
      </c>
      <c r="F2720" s="25">
        <v>43117</v>
      </c>
      <c r="G2720" s="70" t="s">
        <v>1423</v>
      </c>
      <c r="H2720" s="25">
        <v>43151</v>
      </c>
      <c r="I2720" s="8"/>
      <c r="J2720" s="8"/>
      <c r="K2720" s="8"/>
      <c r="L2720" s="9" t="s">
        <v>1574</v>
      </c>
      <c r="M2720" s="8"/>
    </row>
    <row r="2721" spans="1:13" x14ac:dyDescent="0.25">
      <c r="A2721" s="71" t="s">
        <v>5255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5256</v>
      </c>
      <c r="B2722" s="67">
        <v>33079736818</v>
      </c>
      <c r="C2722" s="72" t="s">
        <v>5257</v>
      </c>
      <c r="D2722" s="69">
        <v>35642667807</v>
      </c>
      <c r="E2722" s="9">
        <v>262</v>
      </c>
      <c r="F2722" s="25">
        <v>43160</v>
      </c>
      <c r="G2722" s="70" t="s">
        <v>1423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5258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5259</v>
      </c>
      <c r="B2724" s="67">
        <v>31620090813</v>
      </c>
      <c r="C2724" s="72" t="s">
        <v>5260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5261</v>
      </c>
      <c r="B2725" s="67">
        <v>39621579805</v>
      </c>
      <c r="C2725" s="77" t="s">
        <v>5262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5263</v>
      </c>
      <c r="B2726" s="67">
        <v>221267328</v>
      </c>
      <c r="C2726" s="72" t="s">
        <v>5264</v>
      </c>
      <c r="D2726" s="69">
        <v>98610830306</v>
      </c>
      <c r="E2726" s="9">
        <v>85</v>
      </c>
      <c r="F2726" s="25">
        <v>43109</v>
      </c>
      <c r="G2726" s="70" t="s">
        <v>1423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5265</v>
      </c>
      <c r="B2727" s="67">
        <v>35706262888</v>
      </c>
      <c r="C2727" s="71" t="s">
        <v>5266</v>
      </c>
      <c r="D2727" s="69">
        <v>28992397836</v>
      </c>
      <c r="E2727" s="9">
        <v>292</v>
      </c>
      <c r="F2727" s="25">
        <v>43168</v>
      </c>
      <c r="G2727" s="9" t="s">
        <v>1423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5267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1423</v>
      </c>
      <c r="H2728" s="25">
        <v>42921</v>
      </c>
      <c r="I2728" s="8"/>
      <c r="J2728" s="8"/>
      <c r="K2728" s="8"/>
      <c r="L2728" s="9" t="s">
        <v>1542</v>
      </c>
      <c r="M2728" s="8"/>
    </row>
    <row r="2729" spans="1:13" x14ac:dyDescent="0.25">
      <c r="A2729" s="71" t="s">
        <v>5268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1423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5269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5270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1423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5271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5272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5273</v>
      </c>
      <c r="B2734" s="67">
        <v>34393827880</v>
      </c>
      <c r="C2734" s="72" t="s">
        <v>5274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5275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5276</v>
      </c>
      <c r="B2736" s="67">
        <v>35679630826</v>
      </c>
      <c r="C2736" s="72" t="s">
        <v>5277</v>
      </c>
      <c r="D2736" s="69">
        <v>34083542861</v>
      </c>
      <c r="E2736" s="9">
        <v>1752</v>
      </c>
      <c r="F2736" s="25">
        <v>43051</v>
      </c>
      <c r="G2736" s="70" t="s">
        <v>1423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5278</v>
      </c>
      <c r="B2737" s="67">
        <v>34949006800</v>
      </c>
      <c r="C2737" s="18" t="s">
        <v>5279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5280</v>
      </c>
      <c r="B2738" s="67">
        <v>1157524559</v>
      </c>
      <c r="C2738" s="72" t="s">
        <v>5281</v>
      </c>
      <c r="D2738" s="69">
        <v>1436524512</v>
      </c>
      <c r="E2738" s="9">
        <v>117</v>
      </c>
      <c r="F2738" s="25">
        <v>43117</v>
      </c>
      <c r="G2738" s="70" t="s">
        <v>1429</v>
      </c>
      <c r="H2738" s="25">
        <v>43151</v>
      </c>
      <c r="I2738" s="8"/>
      <c r="J2738" s="8"/>
      <c r="K2738" s="8"/>
      <c r="L2738" s="9" t="s">
        <v>1574</v>
      </c>
      <c r="M2738" s="8"/>
    </row>
    <row r="2739" spans="1:13" x14ac:dyDescent="0.25">
      <c r="A2739" s="71" t="s">
        <v>5282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1423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5283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1423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5284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1423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5285</v>
      </c>
      <c r="B2742" s="67">
        <v>21686263830</v>
      </c>
      <c r="C2742" s="29" t="s">
        <v>5286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5287</v>
      </c>
      <c r="B2743" s="67">
        <v>22497995800</v>
      </c>
      <c r="C2743" s="18" t="s">
        <v>5288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5289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1423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5290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5291</v>
      </c>
      <c r="B2746" s="67">
        <v>40291692877</v>
      </c>
      <c r="C2746" s="72" t="s">
        <v>5292</v>
      </c>
      <c r="D2746" s="69">
        <v>1566073367</v>
      </c>
      <c r="E2746" s="9">
        <v>810</v>
      </c>
      <c r="F2746" s="25">
        <v>42915</v>
      </c>
      <c r="G2746" s="70" t="s">
        <v>1423</v>
      </c>
      <c r="H2746" s="25">
        <v>42921</v>
      </c>
      <c r="I2746" s="8"/>
      <c r="J2746" s="8"/>
      <c r="K2746" s="8"/>
      <c r="L2746" s="9" t="s">
        <v>1542</v>
      </c>
      <c r="M2746" s="8"/>
    </row>
    <row r="2747" spans="1:13" x14ac:dyDescent="0.25">
      <c r="A2747" s="72" t="s">
        <v>5293</v>
      </c>
      <c r="B2747" s="67">
        <v>11767064896</v>
      </c>
      <c r="C2747" s="72" t="s">
        <v>5294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5295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1423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5296</v>
      </c>
      <c r="B2749" s="67">
        <v>49009893391</v>
      </c>
      <c r="C2749" s="72" t="s">
        <v>5297</v>
      </c>
      <c r="D2749" s="69">
        <v>37349813368</v>
      </c>
      <c r="E2749" s="9">
        <v>292</v>
      </c>
      <c r="F2749" s="25">
        <v>43168</v>
      </c>
      <c r="G2749" s="70" t="s">
        <v>1423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5298</v>
      </c>
      <c r="B2750" s="67">
        <v>92361587572</v>
      </c>
      <c r="C2750" s="72" t="s">
        <v>5299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5300</v>
      </c>
      <c r="B2751" s="67">
        <v>17487435890</v>
      </c>
      <c r="C2751" s="72" t="s">
        <v>5301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5302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1423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5303</v>
      </c>
      <c r="B2753" s="67">
        <v>86815121615</v>
      </c>
      <c r="C2753" s="72" t="s">
        <v>5304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5305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5306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5307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1423</v>
      </c>
      <c r="H2756" s="25">
        <v>42921</v>
      </c>
      <c r="I2756" s="8"/>
      <c r="J2756" s="8"/>
      <c r="K2756" s="8"/>
      <c r="L2756" s="9" t="s">
        <v>1542</v>
      </c>
      <c r="M2756" s="8"/>
    </row>
    <row r="2757" spans="1:13" x14ac:dyDescent="0.25">
      <c r="A2757" s="72" t="s">
        <v>5308</v>
      </c>
      <c r="B2757" s="67">
        <v>25261161800</v>
      </c>
      <c r="C2757" s="72" t="s">
        <v>5309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5310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1423</v>
      </c>
      <c r="H2758" s="25">
        <v>43151</v>
      </c>
      <c r="I2758" s="8"/>
      <c r="J2758" s="8"/>
      <c r="K2758" s="8"/>
      <c r="L2758" s="9" t="s">
        <v>1574</v>
      </c>
      <c r="M2758" s="8"/>
    </row>
    <row r="2759" spans="1:13" x14ac:dyDescent="0.25">
      <c r="A2759" s="71" t="s">
        <v>5311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1423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5312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5313</v>
      </c>
      <c r="B2761" s="67">
        <v>22638604879</v>
      </c>
      <c r="C2761" s="72" t="s">
        <v>5314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5315</v>
      </c>
      <c r="B2762" s="67" t="s">
        <v>5316</v>
      </c>
      <c r="C2762" s="18" t="s">
        <v>5317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5318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5319</v>
      </c>
      <c r="B2764" s="67">
        <v>32880462886</v>
      </c>
      <c r="C2764" s="72" t="s">
        <v>5320</v>
      </c>
      <c r="D2764" s="69">
        <v>30845711806</v>
      </c>
      <c r="E2764" s="9">
        <v>810</v>
      </c>
      <c r="F2764" s="25">
        <v>42915</v>
      </c>
      <c r="G2764" s="70" t="s">
        <v>1423</v>
      </c>
      <c r="H2764" s="25">
        <v>42921</v>
      </c>
      <c r="I2764" s="8"/>
      <c r="J2764" s="8"/>
      <c r="K2764" s="8"/>
      <c r="L2764" s="9" t="s">
        <v>1542</v>
      </c>
      <c r="M2764" s="8"/>
    </row>
    <row r="2765" spans="1:13" x14ac:dyDescent="0.25">
      <c r="A2765" s="29" t="s">
        <v>5321</v>
      </c>
      <c r="B2765" s="67">
        <v>31228758883</v>
      </c>
      <c r="C2765" s="29" t="s">
        <v>5322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5323</v>
      </c>
      <c r="B2766" s="67">
        <v>40443218846</v>
      </c>
      <c r="C2766" s="88" t="s">
        <v>5324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5325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1423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5326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1429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5327</v>
      </c>
      <c r="B2769" s="67"/>
      <c r="C2769" s="29" t="s">
        <v>5328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5329</v>
      </c>
      <c r="B2770" s="67">
        <v>34462426860</v>
      </c>
      <c r="C2770" s="72" t="s">
        <v>5330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1703</v>
      </c>
      <c r="M2770" s="8"/>
    </row>
    <row r="2771" spans="1:13" x14ac:dyDescent="0.25">
      <c r="A2771" s="15" t="s">
        <v>5331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1423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5332</v>
      </c>
      <c r="B2772" s="67">
        <v>39600488827</v>
      </c>
      <c r="C2772" s="72" t="s">
        <v>5333</v>
      </c>
      <c r="D2772" s="69">
        <v>34795746885</v>
      </c>
      <c r="E2772" s="9">
        <v>292</v>
      </c>
      <c r="F2772" s="25">
        <v>43168</v>
      </c>
      <c r="G2772" s="70" t="s">
        <v>1423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5334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5335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1437</v>
      </c>
      <c r="H2774" s="25">
        <v>42921</v>
      </c>
      <c r="I2774" s="8"/>
      <c r="J2774" s="8"/>
      <c r="K2774" s="8"/>
      <c r="L2774" s="9" t="s">
        <v>1542</v>
      </c>
      <c r="M2774" s="8"/>
    </row>
    <row r="2775" spans="1:13" x14ac:dyDescent="0.25">
      <c r="A2775" s="71" t="s">
        <v>5336</v>
      </c>
      <c r="B2775" s="67">
        <v>32768872822</v>
      </c>
      <c r="C2775" s="72" t="s">
        <v>5337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5338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1423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5339</v>
      </c>
      <c r="B2777" s="67">
        <v>85942588104</v>
      </c>
      <c r="C2777" s="88" t="s">
        <v>5340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5341</v>
      </c>
      <c r="B2778" s="67"/>
      <c r="C2778" s="29" t="s">
        <v>1533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5342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1423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5343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1423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5344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5345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5346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1423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5347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1423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5348</v>
      </c>
      <c r="B2785" s="67">
        <v>30834349876</v>
      </c>
      <c r="C2785" s="72" t="s">
        <v>5349</v>
      </c>
      <c r="D2785" s="69">
        <v>58355561520</v>
      </c>
      <c r="E2785" s="9">
        <v>262</v>
      </c>
      <c r="F2785" s="25">
        <v>43160</v>
      </c>
      <c r="G2785" s="70" t="s">
        <v>1423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5350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1423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5351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1429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5352</v>
      </c>
      <c r="B2788" s="67">
        <v>22682142818</v>
      </c>
      <c r="C2788" s="72" t="s">
        <v>4152</v>
      </c>
      <c r="D2788" s="69">
        <v>22853401847</v>
      </c>
      <c r="E2788" s="9">
        <v>117</v>
      </c>
      <c r="F2788" s="25">
        <v>43117</v>
      </c>
      <c r="G2788" s="70" t="s">
        <v>1423</v>
      </c>
      <c r="H2788" s="25">
        <v>43151</v>
      </c>
      <c r="I2788" s="8"/>
      <c r="J2788" s="8"/>
      <c r="K2788" s="8"/>
      <c r="L2788" s="9" t="s">
        <v>1574</v>
      </c>
      <c r="M2788" s="8"/>
    </row>
    <row r="2789" spans="1:13" x14ac:dyDescent="0.25">
      <c r="A2789" s="71" t="s">
        <v>5353</v>
      </c>
      <c r="B2789" s="67">
        <v>32700235886</v>
      </c>
      <c r="C2789" s="72" t="s">
        <v>5354</v>
      </c>
      <c r="D2789" s="69">
        <v>30542314886</v>
      </c>
      <c r="E2789" s="9">
        <v>292</v>
      </c>
      <c r="F2789" s="25">
        <v>43168</v>
      </c>
      <c r="G2789" s="70" t="s">
        <v>1423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5355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5356</v>
      </c>
      <c r="B2791" s="67">
        <v>12487731877</v>
      </c>
      <c r="C2791" s="72" t="s">
        <v>5357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5358</v>
      </c>
      <c r="B2792" s="67" t="s">
        <v>5359</v>
      </c>
      <c r="C2792" s="88" t="s">
        <v>5360</v>
      </c>
      <c r="D2792" s="69" t="s">
        <v>5361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5362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1423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5363</v>
      </c>
      <c r="B2794" s="67">
        <v>35705436840</v>
      </c>
      <c r="C2794" s="88" t="s">
        <v>5364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5365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1437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5366</v>
      </c>
      <c r="B2796" s="67">
        <v>34086913801</v>
      </c>
      <c r="C2796" s="72" t="s">
        <v>5367</v>
      </c>
      <c r="D2796" s="69">
        <v>31013050800</v>
      </c>
      <c r="E2796" s="9">
        <v>229</v>
      </c>
      <c r="F2796" s="25">
        <v>43151</v>
      </c>
      <c r="G2796" s="70" t="s">
        <v>1423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5368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1423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5369</v>
      </c>
      <c r="B2798" s="67">
        <v>24648996828</v>
      </c>
      <c r="C2798" s="72" t="s">
        <v>5370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5371</v>
      </c>
      <c r="B2799" s="67">
        <v>87445824472</v>
      </c>
      <c r="C2799" s="72" t="s">
        <v>5372</v>
      </c>
      <c r="D2799" s="69">
        <v>30439764874</v>
      </c>
      <c r="E2799" s="9">
        <v>1417</v>
      </c>
      <c r="F2799" s="25">
        <v>43017</v>
      </c>
      <c r="G2799" s="70" t="s">
        <v>1423</v>
      </c>
      <c r="H2799" s="25">
        <v>43027</v>
      </c>
      <c r="I2799" s="8"/>
      <c r="J2799" s="8"/>
      <c r="K2799" s="8"/>
      <c r="L2799" s="9" t="s">
        <v>1657</v>
      </c>
      <c r="M2799" s="8"/>
    </row>
    <row r="2800" spans="1:13" x14ac:dyDescent="0.25">
      <c r="A2800" s="71" t="s">
        <v>5373</v>
      </c>
      <c r="B2800" s="67">
        <v>25630230840</v>
      </c>
      <c r="C2800" s="77" t="s">
        <v>5374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1703</v>
      </c>
      <c r="M2800" s="8"/>
    </row>
    <row r="2801" spans="1:13" x14ac:dyDescent="0.25">
      <c r="A2801" s="71" t="s">
        <v>5375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1423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5376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1423</v>
      </c>
      <c r="H2802" s="25">
        <v>43027</v>
      </c>
      <c r="I2802" s="8"/>
      <c r="J2802" s="8"/>
      <c r="K2802" s="8"/>
      <c r="L2802" s="9" t="s">
        <v>1657</v>
      </c>
      <c r="M2802" s="8"/>
    </row>
    <row r="2803" spans="1:13" x14ac:dyDescent="0.25">
      <c r="A2803" s="71" t="s">
        <v>5377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5378</v>
      </c>
      <c r="B2804" s="67">
        <v>17128618830</v>
      </c>
      <c r="C2804" s="72" t="s">
        <v>5379</v>
      </c>
      <c r="D2804" s="69">
        <v>69305315534</v>
      </c>
      <c r="E2804" s="9">
        <v>810</v>
      </c>
      <c r="F2804" s="25">
        <v>42915</v>
      </c>
      <c r="G2804" s="70" t="s">
        <v>1429</v>
      </c>
      <c r="H2804" s="25">
        <v>42921</v>
      </c>
      <c r="I2804" s="8"/>
      <c r="J2804" s="8"/>
      <c r="K2804" s="8"/>
      <c r="L2804" s="9" t="s">
        <v>1542</v>
      </c>
      <c r="M2804" s="8"/>
    </row>
    <row r="2805" spans="1:13" x14ac:dyDescent="0.25">
      <c r="A2805" s="71" t="s">
        <v>5380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5381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5382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5383</v>
      </c>
      <c r="B2808" s="67">
        <v>79572421468</v>
      </c>
      <c r="C2808" s="29" t="s">
        <v>5384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5385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1423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5386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5387</v>
      </c>
      <c r="B2811" s="67">
        <v>44518427866</v>
      </c>
      <c r="C2811" s="72" t="s">
        <v>5388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5389</v>
      </c>
      <c r="B2812" s="67">
        <v>35625515840</v>
      </c>
      <c r="C2812" s="72" t="s">
        <v>5390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5391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5392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1703</v>
      </c>
      <c r="M2814" s="8"/>
    </row>
    <row r="2815" spans="1:13" x14ac:dyDescent="0.25">
      <c r="A2815" s="18" t="s">
        <v>5393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5394</v>
      </c>
      <c r="B2816" s="67">
        <v>40663707803</v>
      </c>
      <c r="C2816" s="72" t="s">
        <v>5395</v>
      </c>
      <c r="D2816" s="69">
        <v>35138540807</v>
      </c>
      <c r="E2816" s="9">
        <v>262</v>
      </c>
      <c r="F2816" s="25">
        <v>43160</v>
      </c>
      <c r="G2816" s="70" t="s">
        <v>1423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5396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5397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5398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1423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5399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1423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5400</v>
      </c>
      <c r="B2821" s="67"/>
      <c r="C2821" s="29" t="s">
        <v>5401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5402</v>
      </c>
      <c r="B2822" s="67">
        <v>40874659850</v>
      </c>
      <c r="C2822" s="77" t="s">
        <v>5403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1703</v>
      </c>
      <c r="M2822" s="8"/>
    </row>
    <row r="2823" spans="1:13" x14ac:dyDescent="0.25">
      <c r="A2823" s="29" t="s">
        <v>5404</v>
      </c>
      <c r="B2823" s="67"/>
      <c r="C2823" s="29" t="s">
        <v>5405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5406</v>
      </c>
      <c r="B2824" s="67">
        <v>37028047814</v>
      </c>
      <c r="C2824" s="72" t="s">
        <v>5407</v>
      </c>
      <c r="D2824" s="69">
        <v>34812554896</v>
      </c>
      <c r="E2824" s="9">
        <v>1824</v>
      </c>
      <c r="F2824" s="25">
        <v>43091</v>
      </c>
      <c r="G2824" s="70" t="s">
        <v>1423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5408</v>
      </c>
      <c r="B2825" s="67">
        <v>10774591650</v>
      </c>
      <c r="C2825" s="72" t="s">
        <v>5409</v>
      </c>
      <c r="D2825" s="69">
        <v>33230795822</v>
      </c>
      <c r="E2825" s="9">
        <v>292</v>
      </c>
      <c r="F2825" s="25">
        <v>43168</v>
      </c>
      <c r="G2825" s="70" t="s">
        <v>1423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5410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1423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5411</v>
      </c>
      <c r="B2827" s="67">
        <v>42779099810</v>
      </c>
      <c r="C2827" s="18" t="s">
        <v>5412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5413</v>
      </c>
      <c r="B2828" s="67">
        <v>50748310835</v>
      </c>
      <c r="C2828" s="18" t="s">
        <v>5414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5415</v>
      </c>
      <c r="B2829" s="67">
        <v>42651266850</v>
      </c>
      <c r="C2829" s="72" t="s">
        <v>5416</v>
      </c>
      <c r="D2829" s="69">
        <v>3580715429</v>
      </c>
      <c r="E2829" s="9">
        <v>1350</v>
      </c>
      <c r="F2829" s="25">
        <v>43006</v>
      </c>
      <c r="G2829" s="70" t="s">
        <v>1423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5417</v>
      </c>
      <c r="B2830" s="67">
        <v>36474824808</v>
      </c>
      <c r="C2830" s="72" t="s">
        <v>5418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5419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5420</v>
      </c>
      <c r="B2832" s="67">
        <v>22034628845</v>
      </c>
      <c r="C2832" s="72" t="s">
        <v>5421</v>
      </c>
      <c r="D2832" s="69">
        <v>26990288515</v>
      </c>
      <c r="E2832" s="9">
        <v>1555</v>
      </c>
      <c r="F2832" s="25">
        <v>43049</v>
      </c>
      <c r="G2832" s="70" t="s">
        <v>1423</v>
      </c>
      <c r="H2832" s="9"/>
      <c r="I2832" s="8"/>
      <c r="J2832" s="8"/>
      <c r="K2832" s="8"/>
      <c r="L2832" s="9" t="s">
        <v>1802</v>
      </c>
      <c r="M2832" s="8"/>
    </row>
    <row r="2833" spans="1:13" x14ac:dyDescent="0.25">
      <c r="A2833" s="71" t="s">
        <v>5422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5423</v>
      </c>
      <c r="B2834" s="67">
        <v>10782475876</v>
      </c>
      <c r="C2834" s="72" t="s">
        <v>5424</v>
      </c>
      <c r="D2834" s="69">
        <v>616947895</v>
      </c>
      <c r="E2834" s="9">
        <v>1214</v>
      </c>
      <c r="F2834" s="25">
        <v>42989</v>
      </c>
      <c r="G2834" s="70" t="s">
        <v>1423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5425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1423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5426</v>
      </c>
      <c r="B2836" s="67"/>
      <c r="C2836" s="18" t="s">
        <v>1533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5427</v>
      </c>
      <c r="B2837" s="67">
        <v>42151049809</v>
      </c>
      <c r="C2837" s="68" t="s">
        <v>5428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5429</v>
      </c>
      <c r="B2838" s="67">
        <v>38785656828</v>
      </c>
      <c r="C2838" s="18" t="s">
        <v>5430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5431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5432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1423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5433</v>
      </c>
      <c r="B2841" s="67">
        <v>22815009854</v>
      </c>
      <c r="C2841" s="77" t="s">
        <v>5434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5435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1429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5436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5437</v>
      </c>
      <c r="B2844" s="67">
        <v>40506629813</v>
      </c>
      <c r="C2844" s="72" t="s">
        <v>5438</v>
      </c>
      <c r="D2844" s="69">
        <v>32485329800</v>
      </c>
      <c r="E2844" s="9">
        <v>262</v>
      </c>
      <c r="F2844" s="25">
        <v>43160</v>
      </c>
      <c r="G2844" s="70" t="s">
        <v>1423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5439</v>
      </c>
      <c r="B2845" s="67">
        <v>31504729897</v>
      </c>
      <c r="C2845" s="68" t="s">
        <v>5440</v>
      </c>
      <c r="D2845" s="69">
        <v>24816878840</v>
      </c>
      <c r="E2845" s="9">
        <v>1214</v>
      </c>
      <c r="F2845" s="25">
        <v>42989</v>
      </c>
      <c r="G2845" s="70" t="s">
        <v>1423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5441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1423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5442</v>
      </c>
      <c r="B2847" s="67">
        <v>12925287700</v>
      </c>
      <c r="C2847" s="72" t="s">
        <v>5443</v>
      </c>
      <c r="D2847" s="69">
        <v>37253983807</v>
      </c>
      <c r="E2847" s="9">
        <v>1752</v>
      </c>
      <c r="F2847" s="25">
        <v>43051</v>
      </c>
      <c r="G2847" s="70" t="s">
        <v>1423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5444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1703</v>
      </c>
      <c r="M2848" s="8"/>
    </row>
    <row r="2849" spans="1:13" x14ac:dyDescent="0.25">
      <c r="A2849" s="71" t="s">
        <v>5445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1423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5446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1423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5447</v>
      </c>
      <c r="B2851" s="67">
        <v>26735743873</v>
      </c>
      <c r="C2851" s="72" t="s">
        <v>5448</v>
      </c>
      <c r="D2851" s="69">
        <v>14913845810</v>
      </c>
      <c r="E2851" s="9">
        <v>1214</v>
      </c>
      <c r="F2851" s="25">
        <v>42989</v>
      </c>
      <c r="G2851" s="70" t="s">
        <v>1429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5449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1423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5450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1423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5451</v>
      </c>
      <c r="B2854" s="67">
        <v>26193222863</v>
      </c>
      <c r="C2854" s="18" t="s">
        <v>5452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5453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5454</v>
      </c>
      <c r="B2856" s="67">
        <v>3381508890</v>
      </c>
      <c r="C2856" s="72" t="s">
        <v>5455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1703</v>
      </c>
      <c r="M2856" s="8"/>
    </row>
    <row r="2857" spans="1:13" x14ac:dyDescent="0.25">
      <c r="A2857" s="15" t="s">
        <v>5456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1423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5457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5458</v>
      </c>
      <c r="B2859" s="67">
        <v>11507771843</v>
      </c>
      <c r="C2859" s="72" t="s">
        <v>5459</v>
      </c>
      <c r="D2859" s="69">
        <v>6898979876</v>
      </c>
      <c r="E2859" s="9">
        <v>292</v>
      </c>
      <c r="F2859" s="25">
        <v>43168</v>
      </c>
      <c r="G2859" s="70" t="s">
        <v>1423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5460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1423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5461</v>
      </c>
      <c r="B2861" s="67">
        <v>42597970850</v>
      </c>
      <c r="C2861" s="72" t="s">
        <v>5462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5463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5464</v>
      </c>
      <c r="B2863" s="67"/>
      <c r="C2863" s="29" t="s">
        <v>5465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5466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1423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5467</v>
      </c>
      <c r="B2865" s="67">
        <v>48081983805</v>
      </c>
      <c r="C2865" s="77" t="s">
        <v>5468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5469</v>
      </c>
      <c r="B2866" s="67">
        <v>43249836826</v>
      </c>
      <c r="C2866" s="72" t="s">
        <v>5470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5471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1423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5472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5473</v>
      </c>
      <c r="B2869" s="67">
        <v>11894872681</v>
      </c>
      <c r="C2869" s="72" t="s">
        <v>5474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5475</v>
      </c>
      <c r="B2870" s="67">
        <v>40155044885</v>
      </c>
      <c r="C2870" s="72" t="s">
        <v>5476</v>
      </c>
      <c r="D2870" s="69">
        <v>34935837888</v>
      </c>
      <c r="E2870" s="9">
        <v>292</v>
      </c>
      <c r="F2870" s="25">
        <v>43168</v>
      </c>
      <c r="G2870" s="9" t="s">
        <v>1423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5477</v>
      </c>
      <c r="B2871" s="67">
        <v>35165262898</v>
      </c>
      <c r="C2871" s="68" t="s">
        <v>5478</v>
      </c>
      <c r="D2871" s="69">
        <v>34112749805</v>
      </c>
      <c r="E2871" s="9">
        <v>1241</v>
      </c>
      <c r="F2871" s="25">
        <v>42992</v>
      </c>
      <c r="G2871" s="70" t="s">
        <v>1423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5479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1423</v>
      </c>
      <c r="H2872" s="25">
        <v>43151</v>
      </c>
      <c r="I2872" s="8"/>
      <c r="J2872" s="8"/>
      <c r="K2872" s="8"/>
      <c r="L2872" s="9" t="s">
        <v>1574</v>
      </c>
      <c r="M2872" s="8"/>
    </row>
    <row r="2873" spans="1:13" x14ac:dyDescent="0.25">
      <c r="A2873" s="72" t="s">
        <v>5480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5481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1423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5482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1423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5483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1423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5484</v>
      </c>
      <c r="B2877" s="67">
        <v>40770970885</v>
      </c>
      <c r="C2877" s="72" t="s">
        <v>5485</v>
      </c>
      <c r="D2877" s="69">
        <v>43652847890</v>
      </c>
      <c r="E2877" s="9">
        <v>117</v>
      </c>
      <c r="F2877" s="25">
        <v>43117</v>
      </c>
      <c r="G2877" s="70" t="s">
        <v>1423</v>
      </c>
      <c r="H2877" s="25">
        <v>43151</v>
      </c>
      <c r="I2877" s="8"/>
      <c r="J2877" s="8"/>
      <c r="K2877" s="8"/>
      <c r="L2877" s="9" t="s">
        <v>1574</v>
      </c>
      <c r="M2877" s="8"/>
    </row>
    <row r="2878" spans="1:13" x14ac:dyDescent="0.25">
      <c r="A2878" s="29" t="s">
        <v>5486</v>
      </c>
      <c r="B2878" s="67"/>
      <c r="C2878" s="18" t="s">
        <v>1533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5487</v>
      </c>
      <c r="B2879" s="67">
        <v>38462624800</v>
      </c>
      <c r="C2879" s="18" t="s">
        <v>1533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5488</v>
      </c>
      <c r="B2880" s="67">
        <v>30942876890</v>
      </c>
      <c r="C2880" s="72" t="s">
        <v>5489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5490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1423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5491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1423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5492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1423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5493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5494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1423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5495</v>
      </c>
      <c r="B2886" s="67">
        <v>28965520819</v>
      </c>
      <c r="C2886" s="72" t="s">
        <v>5496</v>
      </c>
      <c r="D2886" s="69">
        <v>8432372447</v>
      </c>
      <c r="E2886" s="9">
        <v>1824</v>
      </c>
      <c r="F2886" s="25">
        <v>43091</v>
      </c>
      <c r="G2886" s="70" t="s">
        <v>1429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5497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5498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1703</v>
      </c>
      <c r="M2888" s="8"/>
    </row>
    <row r="2889" spans="1:13" x14ac:dyDescent="0.25">
      <c r="A2889" s="71" t="s">
        <v>5499</v>
      </c>
      <c r="B2889" s="67">
        <v>31336065818</v>
      </c>
      <c r="C2889" s="72" t="s">
        <v>5500</v>
      </c>
      <c r="D2889" s="69">
        <v>43264481804</v>
      </c>
      <c r="E2889" s="9">
        <v>1214</v>
      </c>
      <c r="F2889" s="25">
        <v>42989</v>
      </c>
      <c r="G2889" s="70" t="s">
        <v>1423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5501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5502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1423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5503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1423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5504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1423</v>
      </c>
      <c r="H2893" s="25">
        <v>43027</v>
      </c>
      <c r="I2893" s="8"/>
      <c r="J2893" s="8"/>
      <c r="K2893" s="8"/>
      <c r="L2893" s="9" t="s">
        <v>1906</v>
      </c>
      <c r="M2893" s="8"/>
    </row>
    <row r="2894" spans="1:13" x14ac:dyDescent="0.25">
      <c r="A2894" s="15" t="s">
        <v>5505</v>
      </c>
      <c r="B2894" s="67">
        <v>2655794494</v>
      </c>
      <c r="C2894" s="72" t="s">
        <v>5506</v>
      </c>
      <c r="D2894" s="69">
        <v>96385081591</v>
      </c>
      <c r="E2894" s="9">
        <v>117</v>
      </c>
      <c r="F2894" s="25">
        <v>43117</v>
      </c>
      <c r="G2894" s="70" t="s">
        <v>1423</v>
      </c>
      <c r="H2894" s="25">
        <v>43151</v>
      </c>
      <c r="I2894" s="8"/>
      <c r="J2894" s="8"/>
      <c r="K2894" s="8"/>
      <c r="L2894" s="9" t="s">
        <v>1574</v>
      </c>
      <c r="M2894" s="8"/>
    </row>
    <row r="2895" spans="1:13" x14ac:dyDescent="0.25">
      <c r="A2895" s="71" t="s">
        <v>5507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1423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5508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1423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5509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1423</v>
      </c>
      <c r="H2897" s="9"/>
      <c r="I2897" s="9">
        <v>229</v>
      </c>
      <c r="J2897" s="25">
        <v>43151</v>
      </c>
      <c r="K2897" s="25">
        <v>43158</v>
      </c>
      <c r="L2897" s="9" t="s">
        <v>1564</v>
      </c>
      <c r="M2897" s="25"/>
    </row>
    <row r="2898" spans="1:13" x14ac:dyDescent="0.25">
      <c r="A2898" s="71" t="s">
        <v>5510</v>
      </c>
      <c r="B2898" s="67">
        <v>38085002809</v>
      </c>
      <c r="C2898" s="72" t="s">
        <v>5511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5512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1423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5513</v>
      </c>
      <c r="B2900" s="67">
        <v>23357346877</v>
      </c>
      <c r="C2900" s="72" t="s">
        <v>5514</v>
      </c>
      <c r="D2900" s="69">
        <v>39917830880</v>
      </c>
      <c r="E2900" s="9">
        <v>1555</v>
      </c>
      <c r="F2900" s="25">
        <v>43049</v>
      </c>
      <c r="G2900" s="70" t="s">
        <v>1423</v>
      </c>
      <c r="H2900" s="9"/>
      <c r="I2900" s="8"/>
      <c r="J2900" s="8"/>
      <c r="K2900" s="8"/>
      <c r="L2900" s="9" t="s">
        <v>1802</v>
      </c>
      <c r="M2900" s="8"/>
    </row>
    <row r="2901" spans="1:13" x14ac:dyDescent="0.25">
      <c r="A2901" s="71" t="s">
        <v>5515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5516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1423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5517</v>
      </c>
      <c r="B2903" s="67">
        <v>33733642805</v>
      </c>
      <c r="C2903" s="72" t="s">
        <v>5518</v>
      </c>
      <c r="D2903" s="69">
        <v>1860087590</v>
      </c>
      <c r="E2903" s="9">
        <v>85</v>
      </c>
      <c r="F2903" s="25">
        <v>43109</v>
      </c>
      <c r="G2903" s="70" t="s">
        <v>1423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5519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1423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5520</v>
      </c>
      <c r="B2905" s="67">
        <v>5387678802</v>
      </c>
      <c r="C2905" s="72" t="s">
        <v>5521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5522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1423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5523</v>
      </c>
      <c r="B2907" s="67">
        <v>41173451846</v>
      </c>
      <c r="C2907" s="72" t="s">
        <v>5524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5525</v>
      </c>
      <c r="B2908" s="67">
        <v>36432395801</v>
      </c>
      <c r="C2908" s="77" t="s">
        <v>5526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5527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5528</v>
      </c>
      <c r="B2910" s="67">
        <v>28196011890</v>
      </c>
      <c r="C2910" s="72" t="s">
        <v>5529</v>
      </c>
      <c r="D2910" s="69">
        <v>73582980553</v>
      </c>
      <c r="E2910" s="9">
        <v>1262</v>
      </c>
      <c r="F2910" s="25">
        <v>42997</v>
      </c>
      <c r="G2910" s="70" t="s">
        <v>1423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5530</v>
      </c>
      <c r="B2911" s="67">
        <v>8710545409</v>
      </c>
      <c r="C2911" s="72" t="s">
        <v>5531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5532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5533</v>
      </c>
      <c r="B2913" s="67">
        <v>27279265880</v>
      </c>
      <c r="C2913" s="77" t="s">
        <v>5534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5535</v>
      </c>
      <c r="B2914" s="67">
        <v>2973007844</v>
      </c>
      <c r="C2914" s="18" t="s">
        <v>1533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5536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5537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1423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5538</v>
      </c>
      <c r="B2917" s="67">
        <v>97080756391</v>
      </c>
      <c r="C2917" s="68" t="s">
        <v>5539</v>
      </c>
      <c r="D2917" s="69">
        <v>78464463391</v>
      </c>
      <c r="E2917" s="9">
        <v>1343</v>
      </c>
      <c r="F2917" s="25">
        <v>43004</v>
      </c>
      <c r="G2917" s="70" t="s">
        <v>1423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5540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5541</v>
      </c>
      <c r="B2919" s="67">
        <v>542688778</v>
      </c>
      <c r="C2919" s="18" t="s">
        <v>1533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5542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5543</v>
      </c>
      <c r="B2921" s="67">
        <v>19521938854</v>
      </c>
      <c r="C2921" s="72" t="s">
        <v>5544</v>
      </c>
      <c r="D2921" s="69">
        <v>16398980506</v>
      </c>
      <c r="E2921" s="9">
        <v>1214</v>
      </c>
      <c r="F2921" s="25">
        <v>42989</v>
      </c>
      <c r="G2921" s="70" t="s">
        <v>1423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5545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5546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1423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5547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1423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5548</v>
      </c>
      <c r="B2925" s="67">
        <v>81710763272</v>
      </c>
      <c r="C2925" s="77" t="s">
        <v>5549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5550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1423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5551</v>
      </c>
      <c r="B2927" s="67">
        <v>35453812850</v>
      </c>
      <c r="C2927" s="18" t="s">
        <v>5552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5553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5554</v>
      </c>
      <c r="B2929" s="67">
        <v>22665008807</v>
      </c>
      <c r="C2929" s="72" t="s">
        <v>5555</v>
      </c>
      <c r="D2929" s="69">
        <v>35575903800</v>
      </c>
      <c r="E2929" s="9">
        <v>262</v>
      </c>
      <c r="F2929" s="25">
        <v>43160</v>
      </c>
      <c r="G2929" s="9" t="s">
        <v>1423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5556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1423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5557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5558</v>
      </c>
      <c r="B2932" s="67">
        <v>60615920357</v>
      </c>
      <c r="C2932" s="72" t="s">
        <v>5559</v>
      </c>
      <c r="D2932" s="69">
        <v>4818511358</v>
      </c>
      <c r="E2932" s="9">
        <v>292</v>
      </c>
      <c r="F2932" s="25">
        <v>43168</v>
      </c>
      <c r="G2932" s="9" t="s">
        <v>1423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5560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1423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5561</v>
      </c>
      <c r="B2934" s="67">
        <v>31633338851</v>
      </c>
      <c r="C2934" s="72" t="s">
        <v>5562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1703</v>
      </c>
      <c r="M2934" s="8"/>
    </row>
    <row r="2935" spans="1:13" x14ac:dyDescent="0.25">
      <c r="A2935" s="71" t="s">
        <v>5563</v>
      </c>
      <c r="B2935" s="67">
        <v>42518509801</v>
      </c>
      <c r="C2935" s="72" t="s">
        <v>5564</v>
      </c>
      <c r="D2935" s="69">
        <v>36320707844</v>
      </c>
      <c r="E2935" s="9">
        <v>1752</v>
      </c>
      <c r="F2935" s="25">
        <v>43051</v>
      </c>
      <c r="G2935" s="70" t="s">
        <v>1437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5565</v>
      </c>
      <c r="B2936" s="67">
        <v>22958464806</v>
      </c>
      <c r="C2936" s="72" t="s">
        <v>5566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5567</v>
      </c>
      <c r="B2937" s="67">
        <v>31152044850</v>
      </c>
      <c r="C2937" s="72" t="s">
        <v>5568</v>
      </c>
      <c r="D2937" s="69">
        <v>31152043889</v>
      </c>
      <c r="E2937" s="9">
        <v>1128</v>
      </c>
      <c r="F2937" s="25">
        <v>42972</v>
      </c>
      <c r="G2937" s="70" t="s">
        <v>1423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5569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1423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5570</v>
      </c>
      <c r="B2939" s="80">
        <v>35805723859</v>
      </c>
      <c r="C2939" s="81" t="s">
        <v>5571</v>
      </c>
      <c r="D2939" s="82">
        <v>12726161855</v>
      </c>
      <c r="E2939" s="47">
        <v>1824</v>
      </c>
      <c r="F2939" s="48">
        <v>43091</v>
      </c>
      <c r="G2939" s="83" t="s">
        <v>1429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5572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1423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5573</v>
      </c>
      <c r="B2941" s="67">
        <v>7358002431</v>
      </c>
      <c r="C2941" s="72" t="s">
        <v>5574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5575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1423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5576</v>
      </c>
      <c r="B2943" s="67">
        <v>43354497807</v>
      </c>
      <c r="C2943" s="72" t="s">
        <v>5577</v>
      </c>
      <c r="D2943" s="69">
        <v>40802896855</v>
      </c>
      <c r="E2943" s="9">
        <v>1214</v>
      </c>
      <c r="F2943" s="25">
        <v>42989</v>
      </c>
      <c r="G2943" s="70" t="s">
        <v>1423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5578</v>
      </c>
      <c r="B2944" s="67">
        <v>43586522800</v>
      </c>
      <c r="C2944" s="68" t="s">
        <v>5579</v>
      </c>
      <c r="D2944" s="69">
        <v>43586522800</v>
      </c>
      <c r="E2944" s="9">
        <v>1128</v>
      </c>
      <c r="F2944" s="25">
        <v>42972</v>
      </c>
      <c r="G2944" s="70" t="s">
        <v>1423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5580</v>
      </c>
      <c r="B2945" s="67">
        <v>17447067865</v>
      </c>
      <c r="C2945" s="72" t="s">
        <v>5581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5582</v>
      </c>
      <c r="B2946" s="67">
        <v>3568560542</v>
      </c>
      <c r="C2946" s="72" t="s">
        <v>5583</v>
      </c>
      <c r="D2946" s="69">
        <v>4078587500</v>
      </c>
      <c r="E2946" s="9">
        <v>1106</v>
      </c>
      <c r="F2946" s="25">
        <v>42965</v>
      </c>
      <c r="G2946" s="70" t="s">
        <v>1423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5584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5585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5586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1574</v>
      </c>
      <c r="M2949" s="8"/>
    </row>
    <row r="2950" spans="1:13" x14ac:dyDescent="0.25">
      <c r="A2950" s="71" t="s">
        <v>5587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1423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5588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1423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5589</v>
      </c>
      <c r="B2952" s="67"/>
      <c r="C2952" s="29" t="s">
        <v>5590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5591</v>
      </c>
      <c r="B2953" s="67">
        <v>1326462857</v>
      </c>
      <c r="C2953" s="72" t="s">
        <v>5592</v>
      </c>
      <c r="D2953" s="69">
        <v>4906141838</v>
      </c>
      <c r="E2953" s="9">
        <v>229</v>
      </c>
      <c r="F2953" s="25">
        <v>43151</v>
      </c>
      <c r="G2953" s="70" t="s">
        <v>1423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5593</v>
      </c>
      <c r="B2954" s="67">
        <v>7722903428</v>
      </c>
      <c r="C2954" s="29" t="s">
        <v>5594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5595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5596</v>
      </c>
      <c r="B2956" s="67">
        <v>37794411874</v>
      </c>
      <c r="C2956" s="72" t="s">
        <v>5597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5598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5599</v>
      </c>
      <c r="B2958" s="67">
        <v>34093287856</v>
      </c>
      <c r="C2958" s="68" t="s">
        <v>5600</v>
      </c>
      <c r="D2958" s="69">
        <v>1517221536</v>
      </c>
      <c r="E2958" s="9">
        <v>1489</v>
      </c>
      <c r="F2958" s="25"/>
      <c r="G2958" s="70" t="s">
        <v>1423</v>
      </c>
      <c r="H2958" s="9"/>
      <c r="I2958" s="8"/>
      <c r="J2958" s="8"/>
      <c r="K2958" s="8"/>
      <c r="L2958" s="9" t="s">
        <v>1564</v>
      </c>
      <c r="M2958" s="8"/>
    </row>
    <row r="2959" spans="1:13" x14ac:dyDescent="0.25">
      <c r="A2959" s="71" t="s">
        <v>5601</v>
      </c>
      <c r="B2959" s="67">
        <v>29289559845</v>
      </c>
      <c r="C2959" s="72" t="s">
        <v>5602</v>
      </c>
      <c r="D2959" s="69">
        <v>25585724827</v>
      </c>
      <c r="E2959" s="9">
        <v>1752</v>
      </c>
      <c r="F2959" s="25">
        <v>43051</v>
      </c>
      <c r="G2959" s="70" t="s">
        <v>1423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5603</v>
      </c>
      <c r="B2960" s="67"/>
      <c r="C2960" s="29" t="s">
        <v>5604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5605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5606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5607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5608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5609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1423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5610</v>
      </c>
      <c r="B2966" s="67">
        <v>32368859802</v>
      </c>
      <c r="C2966" s="68" t="s">
        <v>5611</v>
      </c>
      <c r="D2966" s="69">
        <v>28517056876</v>
      </c>
      <c r="E2966" s="9">
        <v>1343</v>
      </c>
      <c r="F2966" s="25">
        <v>43004</v>
      </c>
      <c r="G2966" s="70" t="s">
        <v>1423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5612</v>
      </c>
      <c r="B2967" s="67">
        <v>35104711803</v>
      </c>
      <c r="C2967" s="72" t="s">
        <v>5613</v>
      </c>
      <c r="D2967" s="69">
        <v>34881906844</v>
      </c>
      <c r="E2967" s="9">
        <v>292</v>
      </c>
      <c r="F2967" s="25">
        <v>43168</v>
      </c>
      <c r="G2967" s="9" t="s">
        <v>1423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5614</v>
      </c>
      <c r="B2968" s="67">
        <v>23093033802</v>
      </c>
      <c r="C2968" s="29" t="s">
        <v>5615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5616</v>
      </c>
      <c r="B2969" s="67">
        <v>92605494420</v>
      </c>
      <c r="C2969" s="72" t="s">
        <v>5617</v>
      </c>
      <c r="D2969" s="69">
        <v>37622834866</v>
      </c>
      <c r="E2969" s="9">
        <v>608</v>
      </c>
      <c r="F2969" s="25">
        <v>43012</v>
      </c>
      <c r="G2969" s="70" t="s">
        <v>1423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5618</v>
      </c>
      <c r="B2970" s="67">
        <v>27646989843</v>
      </c>
      <c r="C2970" s="72" t="s">
        <v>5619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5620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1423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5621</v>
      </c>
      <c r="B2972" s="67">
        <v>29312608860</v>
      </c>
      <c r="C2972" s="29" t="s">
        <v>5622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5623</v>
      </c>
      <c r="B2973" s="67"/>
      <c r="C2973" s="29" t="s">
        <v>5624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5625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1423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5626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5627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5628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5629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5630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5631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1423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5632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1423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5633</v>
      </c>
      <c r="B2982" s="67">
        <v>13562151810</v>
      </c>
      <c r="C2982" s="72" t="s">
        <v>5634</v>
      </c>
      <c r="D2982" s="69">
        <v>47393076772</v>
      </c>
      <c r="E2982" s="9">
        <v>292</v>
      </c>
      <c r="F2982" s="25">
        <v>43168</v>
      </c>
      <c r="G2982" s="70" t="s">
        <v>1429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5635</v>
      </c>
      <c r="B2983" s="67">
        <v>10488541832</v>
      </c>
      <c r="C2983" s="72" t="s">
        <v>5636</v>
      </c>
      <c r="D2983" s="69">
        <v>8437233860</v>
      </c>
      <c r="E2983" s="9">
        <v>229</v>
      </c>
      <c r="F2983" s="25">
        <v>43151</v>
      </c>
      <c r="G2983" s="70" t="s">
        <v>1423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5637</v>
      </c>
      <c r="B2984" s="67">
        <v>52291168894</v>
      </c>
      <c r="C2984" s="29" t="s">
        <v>1533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5638</v>
      </c>
      <c r="B2985" s="67">
        <v>32455945855</v>
      </c>
      <c r="C2985" s="77" t="s">
        <v>5639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5640</v>
      </c>
      <c r="B2986" s="67">
        <v>7127228663</v>
      </c>
      <c r="C2986" s="72" t="s">
        <v>5641</v>
      </c>
      <c r="D2986" s="69">
        <v>18053058833</v>
      </c>
      <c r="E2986" s="9">
        <v>1628</v>
      </c>
      <c r="F2986" s="25">
        <v>43077</v>
      </c>
      <c r="G2986" s="70" t="s">
        <v>1423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5642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1423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5643</v>
      </c>
      <c r="B2988" s="67">
        <v>32318059888</v>
      </c>
      <c r="C2988" s="68" t="s">
        <v>5644</v>
      </c>
      <c r="D2988" s="69">
        <v>38564888807</v>
      </c>
      <c r="E2988" s="9">
        <v>1128</v>
      </c>
      <c r="F2988" s="25">
        <v>42972</v>
      </c>
      <c r="G2988" s="70" t="s">
        <v>1423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5645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5646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1423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5647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1423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5648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1423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5649</v>
      </c>
      <c r="B2993" s="67">
        <v>45255799866</v>
      </c>
      <c r="C2993" s="72" t="s">
        <v>5650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5651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1423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5652</v>
      </c>
      <c r="B2995" s="67">
        <v>37570860829</v>
      </c>
      <c r="C2995" s="72" t="s">
        <v>5653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5654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1423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5655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5656</v>
      </c>
      <c r="B2998" s="67">
        <v>25712620847</v>
      </c>
      <c r="C2998" s="18" t="s">
        <v>5657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5658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1703</v>
      </c>
      <c r="M2999" s="8"/>
    </row>
    <row r="3000" spans="1:13" x14ac:dyDescent="0.25">
      <c r="A3000" s="72" t="s">
        <v>5659</v>
      </c>
      <c r="B3000" s="67">
        <v>40000949809</v>
      </c>
      <c r="C3000" s="72" t="s">
        <v>5660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1703</v>
      </c>
      <c r="M3000" s="8"/>
    </row>
    <row r="3001" spans="1:13" x14ac:dyDescent="0.25">
      <c r="A3001" s="71" t="s">
        <v>5661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5662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5663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5664</v>
      </c>
      <c r="B3004" s="67"/>
      <c r="C3004" s="29" t="s">
        <v>1533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5665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1423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5666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5667</v>
      </c>
      <c r="B3007" s="67">
        <v>13517396893</v>
      </c>
      <c r="C3007" s="72" t="s">
        <v>5668</v>
      </c>
      <c r="D3007" s="69">
        <v>61574252453</v>
      </c>
      <c r="E3007" s="9">
        <v>262</v>
      </c>
      <c r="F3007" s="25">
        <v>43160</v>
      </c>
      <c r="G3007" s="70" t="s">
        <v>1429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5669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1423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5670</v>
      </c>
      <c r="B3009" s="67"/>
      <c r="C3009" s="29" t="s">
        <v>5671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5672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1423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5673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1423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5674</v>
      </c>
      <c r="B3012" s="67">
        <v>4609966654</v>
      </c>
      <c r="C3012" s="72" t="s">
        <v>5675</v>
      </c>
      <c r="D3012" s="69">
        <v>28402756867</v>
      </c>
      <c r="E3012" s="9">
        <v>292</v>
      </c>
      <c r="F3012" s="25">
        <v>43168</v>
      </c>
      <c r="G3012" s="70" t="s">
        <v>1423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5676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1423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5677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1423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5678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5679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1423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5680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5680</v>
      </c>
      <c r="B3018" s="67"/>
      <c r="C3018" s="18" t="s">
        <v>1533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5681</v>
      </c>
      <c r="B3019" s="67"/>
      <c r="C3019" s="29" t="s">
        <v>1533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5682</v>
      </c>
      <c r="B3020" s="67">
        <v>40882575880</v>
      </c>
      <c r="C3020" s="72" t="s">
        <v>5683</v>
      </c>
      <c r="D3020" s="69">
        <v>39163987848</v>
      </c>
      <c r="E3020" s="9">
        <v>292</v>
      </c>
      <c r="F3020" s="25">
        <v>43168</v>
      </c>
      <c r="G3020" s="70" t="s">
        <v>1423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5684</v>
      </c>
      <c r="B3021" s="67"/>
      <c r="C3021" s="29" t="s">
        <v>1533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5685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5686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1423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5687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5688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5689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5690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1423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5691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5692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5693</v>
      </c>
      <c r="B3030" s="67"/>
      <c r="C3030" s="29" t="s">
        <v>1533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5694</v>
      </c>
      <c r="B3031" s="67">
        <v>44374068856</v>
      </c>
      <c r="C3031" s="72" t="s">
        <v>5695</v>
      </c>
      <c r="D3031" s="69">
        <v>34698741823</v>
      </c>
      <c r="E3031" s="9">
        <v>1489</v>
      </c>
      <c r="F3031" s="25">
        <v>43038</v>
      </c>
      <c r="G3031" s="70" t="s">
        <v>1423</v>
      </c>
      <c r="H3031" s="9"/>
      <c r="I3031" s="8"/>
      <c r="J3031" s="8"/>
      <c r="K3031" s="8"/>
      <c r="L3031" s="9" t="s">
        <v>1564</v>
      </c>
      <c r="M3031" s="8"/>
    </row>
    <row r="3032" spans="1:13" x14ac:dyDescent="0.25">
      <c r="A3032" s="71" t="s">
        <v>5696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5697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1703</v>
      </c>
      <c r="M3033" s="8"/>
    </row>
    <row r="3034" spans="1:13" x14ac:dyDescent="0.25">
      <c r="A3034" s="71" t="s">
        <v>5698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5699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1423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5700</v>
      </c>
      <c r="B3036" s="67">
        <v>46812344869</v>
      </c>
      <c r="C3036" s="72" t="s">
        <v>5701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5702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1423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5703</v>
      </c>
      <c r="B3038" s="67">
        <v>70659834634</v>
      </c>
      <c r="C3038" s="68" t="s">
        <v>5704</v>
      </c>
      <c r="D3038" s="69">
        <v>70558795404</v>
      </c>
      <c r="E3038" s="9">
        <v>1267</v>
      </c>
      <c r="F3038" s="25">
        <v>42998</v>
      </c>
      <c r="G3038" s="70" t="s">
        <v>1423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5705</v>
      </c>
      <c r="B3039" s="67"/>
      <c r="C3039" s="72" t="s">
        <v>5706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5707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1423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5708</v>
      </c>
      <c r="B3041" s="67">
        <v>3867219630</v>
      </c>
      <c r="C3041" s="72" t="s">
        <v>5709</v>
      </c>
      <c r="D3041" s="69">
        <v>4268294503</v>
      </c>
      <c r="E3041" s="9">
        <v>1824</v>
      </c>
      <c r="F3041" s="25">
        <v>43091</v>
      </c>
      <c r="G3041" s="70" t="s">
        <v>1423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5710</v>
      </c>
      <c r="B3042" s="67">
        <v>27084341870</v>
      </c>
      <c r="C3042" s="72" t="s">
        <v>1727</v>
      </c>
      <c r="D3042" s="69">
        <v>70639957315</v>
      </c>
      <c r="E3042" s="9">
        <v>1214</v>
      </c>
      <c r="F3042" s="25">
        <v>42989</v>
      </c>
      <c r="G3042" s="70" t="s">
        <v>1429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5711</v>
      </c>
      <c r="B3043" s="67">
        <v>29697189870</v>
      </c>
      <c r="C3043" s="72" t="s">
        <v>5712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5713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1423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5714</v>
      </c>
      <c r="B3045" s="67">
        <v>4055380810</v>
      </c>
      <c r="C3045" s="29" t="s">
        <v>1533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5715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1423</v>
      </c>
      <c r="H3046" s="25">
        <v>43027</v>
      </c>
      <c r="I3046" s="8"/>
      <c r="J3046" s="8"/>
      <c r="K3046" s="8"/>
      <c r="L3046" s="9" t="s">
        <v>1657</v>
      </c>
      <c r="M3046" s="8"/>
    </row>
    <row r="3047" spans="1:13" x14ac:dyDescent="0.25">
      <c r="A3047" s="16" t="s">
        <v>5716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5717</v>
      </c>
      <c r="B3048" s="67">
        <v>99038862504</v>
      </c>
      <c r="C3048" s="72" t="s">
        <v>5718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5719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1423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5720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1423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5721</v>
      </c>
      <c r="B3051" s="67">
        <v>22505123888</v>
      </c>
      <c r="C3051" s="72" t="s">
        <v>5722</v>
      </c>
      <c r="D3051" s="69">
        <v>39819234808</v>
      </c>
      <c r="E3051" s="9">
        <v>1752</v>
      </c>
      <c r="F3051" s="25">
        <v>43051</v>
      </c>
      <c r="G3051" s="70" t="s">
        <v>1423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5723</v>
      </c>
      <c r="B3052" s="67"/>
      <c r="C3052" s="29" t="s">
        <v>1533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5724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5725</v>
      </c>
      <c r="B3054" s="67">
        <v>34850143890</v>
      </c>
      <c r="C3054" s="72" t="s">
        <v>5726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5727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1423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5728</v>
      </c>
      <c r="B3056" s="67">
        <v>17852199879</v>
      </c>
      <c r="C3056" s="72" t="s">
        <v>5729</v>
      </c>
      <c r="D3056" s="69">
        <v>15255063827</v>
      </c>
      <c r="E3056" s="9">
        <v>1128</v>
      </c>
      <c r="F3056" s="25">
        <v>42972</v>
      </c>
      <c r="G3056" s="70" t="s">
        <v>1423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5730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1423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5731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5732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1423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100" priority="5" stopIfTrue="1"/>
  </conditionalFormatting>
  <conditionalFormatting sqref="A3:A128">
    <cfRule type="duplicateValues" dxfId="99" priority="4" stopIfTrue="1"/>
  </conditionalFormatting>
  <conditionalFormatting sqref="A3:A626">
    <cfRule type="duplicateValues" dxfId="98" priority="1" stopIfTrue="1"/>
  </conditionalFormatting>
  <conditionalFormatting sqref="B2684">
    <cfRule type="duplicateValues" dxfId="97" priority="3" stopIfTrue="1"/>
  </conditionalFormatting>
  <conditionalFormatting sqref="C689">
    <cfRule type="duplicateValues" dxfId="96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6:E116"/>
  <sheetViews>
    <sheetView topLeftCell="A2" workbookViewId="0">
      <selection activeCell="B6" sqref="B6:E7"/>
    </sheetView>
  </sheetViews>
  <sheetFormatPr defaultColWidth="9.140625" defaultRowHeight="18" customHeight="1" x14ac:dyDescent="0.25"/>
  <cols>
    <col min="1" max="1" width="15.85546875" style="106" bestFit="1" customWidth="1"/>
    <col min="2" max="2" width="29.85546875" style="106" bestFit="1" customWidth="1"/>
    <col min="3" max="3" width="13.7109375" style="106" bestFit="1" customWidth="1"/>
    <col min="4" max="4" width="49.28515625" style="106" bestFit="1" customWidth="1"/>
    <col min="5" max="5" width="25.42578125" style="106" bestFit="1" customWidth="1"/>
    <col min="6" max="16384" width="9.140625" style="106"/>
  </cols>
  <sheetData>
    <row r="6" spans="2:5" ht="20.25" customHeight="1" x14ac:dyDescent="0.25">
      <c r="B6" s="320" t="s">
        <v>39</v>
      </c>
      <c r="C6" s="320" t="s">
        <v>43</v>
      </c>
      <c r="D6" s="321" t="s">
        <v>65</v>
      </c>
      <c r="E6" s="321" t="s">
        <v>5733</v>
      </c>
    </row>
    <row r="7" spans="2:5" ht="20.25" customHeight="1" x14ac:dyDescent="0.25">
      <c r="B7" s="120" t="s">
        <v>99</v>
      </c>
      <c r="C7" s="346" t="s">
        <v>616</v>
      </c>
      <c r="D7" s="346" t="s">
        <v>617</v>
      </c>
      <c r="E7" s="261">
        <v>45939</v>
      </c>
    </row>
    <row r="8" spans="2:5" ht="20.25" customHeight="1" x14ac:dyDescent="0.25">
      <c r="B8" s="343"/>
      <c r="C8" s="343"/>
      <c r="D8" s="343"/>
      <c r="E8" s="344"/>
    </row>
    <row r="9" spans="2:5" ht="20.25" customHeight="1" x14ac:dyDescent="0.25">
      <c r="B9" s="340"/>
      <c r="C9" s="340"/>
      <c r="D9" s="340"/>
      <c r="E9" s="342"/>
    </row>
    <row r="10" spans="2:5" ht="20.25" customHeight="1" x14ac:dyDescent="0.25">
      <c r="B10" s="137"/>
      <c r="C10" s="137"/>
      <c r="D10" s="137"/>
      <c r="E10" s="188"/>
    </row>
    <row r="11" spans="2:5" ht="20.25" customHeight="1" x14ac:dyDescent="0.25">
      <c r="B11" s="137"/>
      <c r="C11" s="137"/>
      <c r="D11" s="137"/>
      <c r="E11" s="188"/>
    </row>
    <row r="12" spans="2:5" ht="20.25" customHeight="1" x14ac:dyDescent="0.25">
      <c r="B12" s="137"/>
      <c r="C12" s="137"/>
      <c r="D12" s="307"/>
      <c r="E12" s="308"/>
    </row>
    <row r="13" spans="2:5" ht="20.25" customHeight="1" x14ac:dyDescent="0.25">
      <c r="B13" s="120"/>
      <c r="C13" s="305"/>
      <c r="D13" s="305"/>
      <c r="E13" s="304"/>
    </row>
    <row r="14" spans="2:5" ht="20.25" customHeight="1" x14ac:dyDescent="0.25">
      <c r="B14" s="120"/>
      <c r="C14" s="120"/>
      <c r="D14" s="306"/>
      <c r="E14" s="304"/>
    </row>
    <row r="15" spans="2:5" ht="20.25" customHeight="1" x14ac:dyDescent="0.25">
      <c r="B15" s="137"/>
      <c r="C15" s="137"/>
      <c r="D15" s="137"/>
      <c r="E15" s="188"/>
    </row>
    <row r="16" spans="2:5" ht="18" customHeight="1" x14ac:dyDescent="0.25">
      <c r="B16" s="120"/>
      <c r="C16" s="120"/>
      <c r="D16" s="120"/>
      <c r="E16" s="179"/>
    </row>
    <row r="17" spans="2:5" ht="18" customHeight="1" x14ac:dyDescent="0.25">
      <c r="B17" s="120"/>
      <c r="C17" s="120"/>
      <c r="D17" s="120"/>
      <c r="E17" s="179"/>
    </row>
    <row r="18" spans="2:5" ht="18" customHeight="1" x14ac:dyDescent="0.25">
      <c r="B18" s="120"/>
      <c r="C18" s="120"/>
      <c r="D18" s="120"/>
      <c r="E18" s="179"/>
    </row>
    <row r="19" spans="2:5" ht="18" customHeight="1" x14ac:dyDescent="0.25">
      <c r="B19" s="137"/>
      <c r="C19" s="137"/>
      <c r="D19" s="137"/>
      <c r="E19" s="268"/>
    </row>
    <row r="20" spans="2:5" ht="18" customHeight="1" x14ac:dyDescent="0.25">
      <c r="B20" s="120"/>
      <c r="C20" s="143"/>
      <c r="D20" s="143"/>
      <c r="E20" s="262"/>
    </row>
    <row r="21" spans="2:5" ht="18" customHeight="1" x14ac:dyDescent="0.25">
      <c r="B21" s="120"/>
      <c r="C21" s="120"/>
      <c r="D21" s="120"/>
      <c r="E21" s="262"/>
    </row>
    <row r="22" spans="2:5" ht="18" customHeight="1" x14ac:dyDescent="0.25">
      <c r="B22" s="137"/>
      <c r="C22" s="263"/>
      <c r="D22" s="125"/>
      <c r="E22" s="264"/>
    </row>
    <row r="23" spans="2:5" ht="18" customHeight="1" x14ac:dyDescent="0.25">
      <c r="B23" s="120"/>
      <c r="C23" s="120"/>
      <c r="D23" s="298"/>
      <c r="E23" s="261"/>
    </row>
    <row r="24" spans="2:5" ht="18" customHeight="1" x14ac:dyDescent="0.25">
      <c r="B24" s="137"/>
      <c r="C24" s="193"/>
      <c r="D24" s="299"/>
      <c r="E24" s="193"/>
    </row>
    <row r="25" spans="2:5" ht="18" customHeight="1" x14ac:dyDescent="0.25">
      <c r="B25" s="120"/>
      <c r="C25" s="193"/>
      <c r="D25" s="299"/>
      <c r="E25" s="193"/>
    </row>
    <row r="26" spans="2:5" ht="18" customHeight="1" x14ac:dyDescent="0.25">
      <c r="B26" s="120"/>
      <c r="C26" s="184"/>
      <c r="D26" s="300"/>
      <c r="E26" s="185"/>
    </row>
    <row r="27" spans="2:5" ht="18" customHeight="1" x14ac:dyDescent="0.25">
      <c r="B27" s="120"/>
      <c r="C27" s="186"/>
      <c r="D27" s="297"/>
      <c r="E27" s="182"/>
    </row>
    <row r="28" spans="2:5" ht="18" customHeight="1" x14ac:dyDescent="0.25">
      <c r="B28" s="120"/>
      <c r="C28" s="186"/>
      <c r="D28" s="143"/>
      <c r="E28" s="182"/>
    </row>
    <row r="29" spans="2:5" ht="18" customHeight="1" x14ac:dyDescent="0.25">
      <c r="B29" s="120"/>
      <c r="C29" s="182"/>
      <c r="D29" s="143"/>
      <c r="E29" s="183"/>
    </row>
    <row r="30" spans="2:5" ht="18" customHeight="1" x14ac:dyDescent="0.25">
      <c r="B30" s="120" t="s">
        <v>99</v>
      </c>
      <c r="C30" s="187"/>
      <c r="D30" s="187"/>
      <c r="E30" s="188"/>
    </row>
    <row r="31" spans="2:5" ht="18" customHeight="1" x14ac:dyDescent="0.25">
      <c r="B31" s="120" t="s">
        <v>99</v>
      </c>
      <c r="C31" s="180"/>
      <c r="D31" s="181"/>
      <c r="E31" s="179"/>
    </row>
    <row r="32" spans="2:5" ht="18" customHeight="1" x14ac:dyDescent="0.25">
      <c r="B32" s="120" t="s">
        <v>99</v>
      </c>
      <c r="C32" s="180"/>
      <c r="D32" s="180"/>
      <c r="E32" s="179"/>
    </row>
    <row r="33" spans="2:5" ht="18" customHeight="1" x14ac:dyDescent="0.25">
      <c r="B33" s="120" t="s">
        <v>99</v>
      </c>
      <c r="C33" s="120" t="s">
        <v>1178</v>
      </c>
      <c r="D33" s="143" t="s">
        <v>1179</v>
      </c>
      <c r="E33" s="179">
        <v>44924</v>
      </c>
    </row>
    <row r="34" spans="2:5" ht="18" customHeight="1" x14ac:dyDescent="0.25">
      <c r="B34" s="120" t="s">
        <v>99</v>
      </c>
      <c r="C34" s="177"/>
      <c r="D34" s="263"/>
      <c r="E34" s="178"/>
    </row>
    <row r="35" spans="2:5" ht="18" customHeight="1" x14ac:dyDescent="0.25">
      <c r="B35" s="120" t="s">
        <v>99</v>
      </c>
      <c r="C35" s="137"/>
      <c r="D35" s="138"/>
      <c r="E35" s="139"/>
    </row>
    <row r="36" spans="2:5" ht="18" customHeight="1" x14ac:dyDescent="0.25">
      <c r="B36" s="120" t="s">
        <v>99</v>
      </c>
      <c r="C36" s="137"/>
      <c r="D36" s="138"/>
      <c r="E36" s="139"/>
    </row>
    <row r="37" spans="2:5" ht="18" customHeight="1" x14ac:dyDescent="0.25">
      <c r="B37" s="120"/>
      <c r="C37" s="120"/>
      <c r="D37" s="121"/>
      <c r="E37" s="135"/>
    </row>
    <row r="38" spans="2:5" ht="18" customHeight="1" x14ac:dyDescent="0.25">
      <c r="B38" s="120"/>
      <c r="C38" s="120"/>
      <c r="D38" s="121"/>
      <c r="E38" s="135"/>
    </row>
    <row r="39" spans="2:5" ht="18" customHeight="1" x14ac:dyDescent="0.25">
      <c r="B39" s="120"/>
      <c r="C39" s="120"/>
      <c r="D39" s="121"/>
      <c r="E39" s="135"/>
    </row>
    <row r="40" spans="2:5" ht="18" customHeight="1" x14ac:dyDescent="0.25">
      <c r="B40" s="120"/>
      <c r="C40" s="120"/>
      <c r="D40" s="121"/>
      <c r="E40" s="135"/>
    </row>
    <row r="41" spans="2:5" ht="18" customHeight="1" x14ac:dyDescent="0.25">
      <c r="B41" s="120"/>
      <c r="C41" s="120"/>
      <c r="D41" s="121"/>
      <c r="E41" s="135"/>
    </row>
    <row r="42" spans="2:5" ht="18" customHeight="1" x14ac:dyDescent="0.25">
      <c r="B42" s="120" t="s">
        <v>5734</v>
      </c>
      <c r="C42" s="120" t="s">
        <v>5735</v>
      </c>
      <c r="D42" s="121" t="s">
        <v>5736</v>
      </c>
      <c r="E42" s="135">
        <v>44896</v>
      </c>
    </row>
    <row r="43" spans="2:5" ht="18" customHeight="1" x14ac:dyDescent="0.25">
      <c r="B43" s="120" t="s">
        <v>5734</v>
      </c>
      <c r="C43" s="120" t="s">
        <v>5737</v>
      </c>
      <c r="D43" s="120" t="s">
        <v>5738</v>
      </c>
      <c r="E43" s="135">
        <v>44896</v>
      </c>
    </row>
    <row r="44" spans="2:5" ht="18" customHeight="1" x14ac:dyDescent="0.25">
      <c r="B44" s="120" t="s">
        <v>5734</v>
      </c>
      <c r="C44" s="120" t="s">
        <v>5739</v>
      </c>
      <c r="D44" s="120" t="s">
        <v>5740</v>
      </c>
      <c r="E44" s="135">
        <v>44896</v>
      </c>
    </row>
    <row r="45" spans="2:5" ht="18" customHeight="1" x14ac:dyDescent="0.25">
      <c r="B45" s="120" t="s">
        <v>5734</v>
      </c>
      <c r="C45" s="136" t="s">
        <v>5741</v>
      </c>
      <c r="D45" s="120" t="s">
        <v>5742</v>
      </c>
      <c r="E45" s="135">
        <v>44896</v>
      </c>
    </row>
    <row r="46" spans="2:5" ht="18" customHeight="1" x14ac:dyDescent="0.25">
      <c r="D46" s="193"/>
    </row>
    <row r="47" spans="2:5" ht="18" customHeight="1" x14ac:dyDescent="0.25">
      <c r="D47" s="193"/>
    </row>
    <row r="48" spans="2:5" ht="18" customHeight="1" x14ac:dyDescent="0.25">
      <c r="D48" s="193"/>
    </row>
    <row r="49" spans="4:4" ht="18" customHeight="1" x14ac:dyDescent="0.25">
      <c r="D49" s="193"/>
    </row>
    <row r="50" spans="4:4" ht="18" customHeight="1" x14ac:dyDescent="0.25">
      <c r="D50" s="193"/>
    </row>
    <row r="51" spans="4:4" ht="18" customHeight="1" x14ac:dyDescent="0.25">
      <c r="D51" s="193"/>
    </row>
    <row r="52" spans="4:4" ht="18" customHeight="1" x14ac:dyDescent="0.25">
      <c r="D52" s="193"/>
    </row>
    <row r="53" spans="4:4" ht="18" customHeight="1" x14ac:dyDescent="0.25">
      <c r="D53" s="193"/>
    </row>
    <row r="54" spans="4:4" ht="18" customHeight="1" x14ac:dyDescent="0.25">
      <c r="D54" s="193"/>
    </row>
    <row r="55" spans="4:4" ht="18" customHeight="1" x14ac:dyDescent="0.25">
      <c r="D55" s="193"/>
    </row>
    <row r="56" spans="4:4" ht="18" customHeight="1" x14ac:dyDescent="0.25">
      <c r="D56" s="193"/>
    </row>
    <row r="88" spans="1:4" ht="18" customHeight="1" x14ac:dyDescent="0.25">
      <c r="A88" s="108" t="s">
        <v>5743</v>
      </c>
      <c r="B88" s="107" t="s">
        <v>121</v>
      </c>
      <c r="C88" s="108" t="s">
        <v>5744</v>
      </c>
      <c r="D88" s="108" t="s">
        <v>5745</v>
      </c>
    </row>
    <row r="89" spans="1:4" ht="18" customHeight="1" x14ac:dyDescent="0.25">
      <c r="A89" s="108" t="s">
        <v>5746</v>
      </c>
      <c r="B89" s="107" t="s">
        <v>121</v>
      </c>
      <c r="C89" s="108" t="s">
        <v>5747</v>
      </c>
      <c r="D89" s="108" t="s">
        <v>5748</v>
      </c>
    </row>
    <row r="90" spans="1:4" ht="18" customHeight="1" x14ac:dyDescent="0.25">
      <c r="A90" s="108" t="s">
        <v>5749</v>
      </c>
      <c r="B90" s="107" t="s">
        <v>121</v>
      </c>
      <c r="C90" s="108" t="s">
        <v>5750</v>
      </c>
      <c r="D90" s="108" t="s">
        <v>5751</v>
      </c>
    </row>
    <row r="91" spans="1:4" ht="18" customHeight="1" x14ac:dyDescent="0.25">
      <c r="A91" s="108" t="s">
        <v>5752</v>
      </c>
      <c r="B91" s="107" t="s">
        <v>12</v>
      </c>
      <c r="C91" s="108" t="s">
        <v>5753</v>
      </c>
      <c r="D91" s="108" t="s">
        <v>5754</v>
      </c>
    </row>
    <row r="92" spans="1:4" ht="18" customHeight="1" x14ac:dyDescent="0.25">
      <c r="A92" s="129" t="s">
        <v>5755</v>
      </c>
      <c r="B92" s="128" t="s">
        <v>121</v>
      </c>
      <c r="C92" s="129" t="s">
        <v>5756</v>
      </c>
      <c r="D92" s="129" t="s">
        <v>5757</v>
      </c>
    </row>
    <row r="93" spans="1:4" ht="18" customHeight="1" x14ac:dyDescent="0.25">
      <c r="A93" s="108" t="s">
        <v>5758</v>
      </c>
      <c r="B93" s="107" t="s">
        <v>121</v>
      </c>
      <c r="C93" s="108" t="s">
        <v>5759</v>
      </c>
      <c r="D93" s="108" t="s">
        <v>5760</v>
      </c>
    </row>
    <row r="94" spans="1:4" ht="18" customHeight="1" x14ac:dyDescent="0.25">
      <c r="A94" s="108" t="s">
        <v>5761</v>
      </c>
      <c r="B94" s="107" t="s">
        <v>121</v>
      </c>
      <c r="C94" s="108" t="s">
        <v>5762</v>
      </c>
      <c r="D94" s="108" t="s">
        <v>5763</v>
      </c>
    </row>
    <row r="95" spans="1:4" ht="18" customHeight="1" x14ac:dyDescent="0.25">
      <c r="A95" s="108" t="s">
        <v>5764</v>
      </c>
      <c r="B95" s="107" t="s">
        <v>121</v>
      </c>
      <c r="C95" s="108" t="s">
        <v>5765</v>
      </c>
      <c r="D95" s="108" t="s">
        <v>5766</v>
      </c>
    </row>
    <row r="96" spans="1:4" ht="18" customHeight="1" x14ac:dyDescent="0.25">
      <c r="A96" s="129" t="s">
        <v>5767</v>
      </c>
      <c r="B96" s="128" t="s">
        <v>121</v>
      </c>
      <c r="C96" s="129" t="s">
        <v>5768</v>
      </c>
      <c r="D96" s="129" t="s">
        <v>5769</v>
      </c>
    </row>
    <row r="97" spans="1:4" ht="18" customHeight="1" x14ac:dyDescent="0.25">
      <c r="A97" s="108" t="s">
        <v>5770</v>
      </c>
      <c r="B97" s="107" t="s">
        <v>121</v>
      </c>
      <c r="C97" s="108" t="s">
        <v>5771</v>
      </c>
      <c r="D97" s="108" t="s">
        <v>5772</v>
      </c>
    </row>
    <row r="98" spans="1:4" ht="18" customHeight="1" x14ac:dyDescent="0.25">
      <c r="A98" s="108" t="s">
        <v>5773</v>
      </c>
      <c r="B98" s="107" t="s">
        <v>12</v>
      </c>
      <c r="C98" s="108" t="s">
        <v>5774</v>
      </c>
      <c r="D98" s="108" t="s">
        <v>5775</v>
      </c>
    </row>
    <row r="99" spans="1:4" ht="18" customHeight="1" x14ac:dyDescent="0.25">
      <c r="A99" s="108" t="s">
        <v>5776</v>
      </c>
      <c r="B99" s="107" t="s">
        <v>5777</v>
      </c>
      <c r="C99" s="108" t="s">
        <v>5778</v>
      </c>
      <c r="D99" s="108" t="s">
        <v>5779</v>
      </c>
    </row>
    <row r="100" spans="1:4" ht="18" customHeight="1" x14ac:dyDescent="0.25">
      <c r="A100" s="108" t="s">
        <v>5780</v>
      </c>
      <c r="B100" s="107" t="s">
        <v>12</v>
      </c>
      <c r="C100" s="109" t="s">
        <v>5781</v>
      </c>
      <c r="D100" s="109" t="s">
        <v>5782</v>
      </c>
    </row>
    <row r="101" spans="1:4" ht="18" customHeight="1" x14ac:dyDescent="0.25">
      <c r="A101" s="108" t="s">
        <v>5783</v>
      </c>
      <c r="B101" s="107" t="s">
        <v>12</v>
      </c>
      <c r="C101" s="109" t="s">
        <v>5784</v>
      </c>
      <c r="D101" s="109" t="s">
        <v>5785</v>
      </c>
    </row>
    <row r="102" spans="1:4" ht="18" customHeight="1" x14ac:dyDescent="0.25">
      <c r="A102" s="108" t="s">
        <v>5786</v>
      </c>
      <c r="B102" s="107" t="s">
        <v>121</v>
      </c>
      <c r="C102" s="108" t="s">
        <v>5787</v>
      </c>
      <c r="D102" s="108" t="s">
        <v>5788</v>
      </c>
    </row>
    <row r="103" spans="1:4" ht="18" customHeight="1" x14ac:dyDescent="0.25">
      <c r="A103" s="108" t="s">
        <v>5789</v>
      </c>
      <c r="B103" s="107" t="s">
        <v>121</v>
      </c>
      <c r="C103" s="134" t="s">
        <v>5790</v>
      </c>
      <c r="D103" s="134" t="s">
        <v>5791</v>
      </c>
    </row>
    <row r="104" spans="1:4" ht="18" customHeight="1" x14ac:dyDescent="0.25">
      <c r="A104" s="119" t="s">
        <v>5792</v>
      </c>
      <c r="B104" s="107" t="s">
        <v>121</v>
      </c>
      <c r="C104" s="133" t="s">
        <v>5793</v>
      </c>
      <c r="D104" s="133" t="s">
        <v>5794</v>
      </c>
    </row>
    <row r="114" spans="1:1" ht="18" customHeight="1" x14ac:dyDescent="0.25">
      <c r="A114" s="129" t="s">
        <v>5769</v>
      </c>
    </row>
    <row r="115" spans="1:1" ht="18" customHeight="1" x14ac:dyDescent="0.25">
      <c r="A115" s="109" t="s">
        <v>5782</v>
      </c>
    </row>
    <row r="116" spans="1:1" ht="18" customHeight="1" x14ac:dyDescent="0.25">
      <c r="A116" s="109" t="s">
        <v>5785</v>
      </c>
    </row>
  </sheetData>
  <conditionalFormatting sqref="A88:A97">
    <cfRule type="duplicateValues" dxfId="95" priority="427"/>
    <cfRule type="duplicateValues" dxfId="94" priority="426"/>
  </conditionalFormatting>
  <conditionalFormatting sqref="A88:A98">
    <cfRule type="duplicateValues" dxfId="93" priority="435"/>
    <cfRule type="duplicateValues" dxfId="92" priority="433"/>
    <cfRule type="duplicateValues" dxfId="91" priority="432"/>
    <cfRule type="duplicateValues" dxfId="90" priority="434"/>
    <cfRule type="duplicateValues" dxfId="89" priority="431"/>
    <cfRule type="duplicateValues" dxfId="88" priority="430"/>
    <cfRule type="duplicateValues" dxfId="87" priority="429"/>
    <cfRule type="duplicateValues" dxfId="86" priority="428"/>
    <cfRule type="duplicateValues" dxfId="85" priority="425"/>
    <cfRule type="duplicateValues" dxfId="84" priority="424"/>
  </conditionalFormatting>
  <conditionalFormatting sqref="C7">
    <cfRule type="duplicateValues" dxfId="83" priority="7"/>
    <cfRule type="duplicateValues" dxfId="82" priority="8"/>
    <cfRule type="duplicateValues" dxfId="81" priority="9"/>
  </conditionalFormatting>
  <conditionalFormatting sqref="C8:C9">
    <cfRule type="duplicateValues" dxfId="80" priority="25"/>
    <cfRule type="duplicateValues" dxfId="79" priority="26"/>
    <cfRule type="duplicateValues" dxfId="78" priority="27"/>
  </conditionalFormatting>
  <conditionalFormatting sqref="C10">
    <cfRule type="duplicateValues" dxfId="77" priority="57"/>
    <cfRule type="duplicateValues" dxfId="76" priority="54"/>
    <cfRule type="duplicateValues" dxfId="75" priority="55"/>
    <cfRule type="duplicateValues" dxfId="74" priority="56"/>
  </conditionalFormatting>
  <conditionalFormatting sqref="C11">
    <cfRule type="duplicateValues" dxfId="73" priority="83"/>
    <cfRule type="duplicateValues" dxfId="72" priority="84"/>
    <cfRule type="duplicateValues" dxfId="71" priority="85"/>
    <cfRule type="duplicateValues" dxfId="70" priority="86"/>
  </conditionalFormatting>
  <conditionalFormatting sqref="C12:C14">
    <cfRule type="duplicateValues" dxfId="69" priority="101"/>
    <cfRule type="duplicateValues" dxfId="68" priority="100"/>
  </conditionalFormatting>
  <conditionalFormatting sqref="C14">
    <cfRule type="duplicateValues" dxfId="67" priority="103"/>
    <cfRule type="duplicateValues" dxfId="66" priority="94"/>
    <cfRule type="duplicateValues" dxfId="65" priority="95"/>
    <cfRule type="duplicateValues" dxfId="64" priority="96"/>
    <cfRule type="duplicateValues" dxfId="63" priority="97"/>
    <cfRule type="duplicateValues" dxfId="62" priority="98"/>
    <cfRule type="duplicateValues" dxfId="61" priority="99"/>
    <cfRule type="duplicateValues" dxfId="60" priority="102"/>
  </conditionalFormatting>
  <conditionalFormatting sqref="C15:C18">
    <cfRule type="duplicateValues" dxfId="59" priority="2443"/>
    <cfRule type="duplicateValues" dxfId="58" priority="2445"/>
    <cfRule type="duplicateValues" dxfId="57" priority="2447"/>
  </conditionalFormatting>
  <conditionalFormatting sqref="C18">
    <cfRule type="duplicateValues" dxfId="56" priority="107"/>
    <cfRule type="duplicateValues" dxfId="55" priority="108"/>
    <cfRule type="duplicateValues" dxfId="54" priority="109"/>
    <cfRule type="duplicateValues" dxfId="53" priority="110"/>
    <cfRule type="duplicateValues" dxfId="52" priority="111"/>
    <cfRule type="duplicateValues" dxfId="51" priority="112"/>
    <cfRule type="duplicateValues" dxfId="50" priority="113"/>
    <cfRule type="duplicateValues" dxfId="49" priority="114"/>
    <cfRule type="duplicateValues" dxfId="48" priority="115"/>
    <cfRule type="duplicateValues" dxfId="47" priority="116"/>
    <cfRule type="duplicateValues" dxfId="46" priority="117"/>
  </conditionalFormatting>
  <conditionalFormatting sqref="C19:C21">
    <cfRule type="duplicateValues" dxfId="45" priority="272"/>
  </conditionalFormatting>
  <conditionalFormatting sqref="C22:C23">
    <cfRule type="duplicateValues" dxfId="44" priority="289"/>
  </conditionalFormatting>
  <conditionalFormatting sqref="D6">
    <cfRule type="duplicateValues" dxfId="43" priority="485"/>
  </conditionalFormatting>
  <conditionalFormatting sqref="D7">
    <cfRule type="duplicateValues" dxfId="42" priority="2"/>
    <cfRule type="duplicateValues" dxfId="41" priority="1"/>
    <cfRule type="duplicateValues" dxfId="40" priority="3"/>
  </conditionalFormatting>
  <conditionalFormatting sqref="D8:D9">
    <cfRule type="duplicateValues" dxfId="39" priority="24"/>
    <cfRule type="duplicateValues" dxfId="38" priority="23"/>
    <cfRule type="duplicateValues" dxfId="37" priority="22"/>
  </conditionalFormatting>
  <conditionalFormatting sqref="D10">
    <cfRule type="duplicateValues" dxfId="36" priority="50"/>
  </conditionalFormatting>
  <conditionalFormatting sqref="D11">
    <cfRule type="duplicateValues" dxfId="35" priority="82"/>
    <cfRule type="duplicateValues" dxfId="34" priority="81"/>
    <cfRule type="duplicateValues" dxfId="33" priority="80"/>
  </conditionalFormatting>
  <conditionalFormatting sqref="D12:D14">
    <cfRule type="duplicateValues" dxfId="32" priority="91"/>
  </conditionalFormatting>
  <conditionalFormatting sqref="D14">
    <cfRule type="duplicateValues" dxfId="31" priority="93"/>
    <cfRule type="duplicateValues" dxfId="30" priority="92"/>
  </conditionalFormatting>
  <conditionalFormatting sqref="D15:D18">
    <cfRule type="duplicateValues" dxfId="29" priority="2449"/>
    <cfRule type="duplicateValues" dxfId="28" priority="2455"/>
  </conditionalFormatting>
  <conditionalFormatting sqref="D19:D25">
    <cfRule type="duplicateValues" dxfId="27" priority="259"/>
  </conditionalFormatting>
  <conditionalFormatting sqref="D26">
    <cfRule type="duplicateValues" dxfId="26" priority="464"/>
  </conditionalFormatting>
  <conditionalFormatting sqref="E19:E21">
    <cfRule type="cellIs" dxfId="25" priority="260" operator="between">
      <formula>36526</formula>
      <formula>402133</formula>
    </cfRule>
  </conditionalFormatting>
  <dataValidations count="1">
    <dataValidation allowBlank="1" showInputMessage="1" showErrorMessage="1" sqref="A98 E27:E28 E34:E45 B7:B36 E8:E19" xr:uid="{53545ECD-80C5-4153-B1A0-788985808B11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3:P21"/>
  <sheetViews>
    <sheetView topLeftCell="J1" workbookViewId="0">
      <selection activeCell="L4" sqref="L4:P6"/>
    </sheetView>
  </sheetViews>
  <sheetFormatPr defaultColWidth="9.140625" defaultRowHeight="20.25" customHeight="1" x14ac:dyDescent="0.2"/>
  <cols>
    <col min="1" max="1" width="9.140625" style="311"/>
    <col min="2" max="2" width="22.85546875" style="311" bestFit="1" customWidth="1"/>
    <col min="3" max="3" width="1.85546875" style="311" bestFit="1" customWidth="1"/>
    <col min="4" max="4" width="9.85546875" style="311" bestFit="1" customWidth="1"/>
    <col min="5" max="5" width="40.140625" style="311" bestFit="1" customWidth="1"/>
    <col min="6" max="6" width="11.140625" style="311" bestFit="1" customWidth="1"/>
    <col min="7" max="7" width="12.85546875" style="311" bestFit="1" customWidth="1"/>
    <col min="8" max="11" width="9.140625" style="311"/>
    <col min="12" max="12" width="18.85546875" style="311" customWidth="1"/>
    <col min="13" max="13" width="16.42578125" style="311" customWidth="1"/>
    <col min="14" max="14" width="37.28515625" style="311" customWidth="1"/>
    <col min="15" max="15" width="19.28515625" style="311" customWidth="1"/>
    <col min="16" max="16" width="33.28515625" style="311" customWidth="1"/>
    <col min="17" max="16384" width="9.140625" style="311"/>
  </cols>
  <sheetData>
    <row r="3" spans="2:16" ht="20.25" customHeight="1" x14ac:dyDescent="0.2">
      <c r="B3" s="122" t="s">
        <v>5734</v>
      </c>
      <c r="C3" s="122">
        <v>4</v>
      </c>
      <c r="D3" s="122" t="s">
        <v>5795</v>
      </c>
      <c r="E3" s="124" t="s">
        <v>5796</v>
      </c>
      <c r="F3" s="124" t="s">
        <v>5797</v>
      </c>
      <c r="G3" s="124" t="s">
        <v>5798</v>
      </c>
    </row>
    <row r="4" spans="2:16" ht="20.25" customHeight="1" x14ac:dyDescent="0.2">
      <c r="B4" s="122" t="s">
        <v>5734</v>
      </c>
      <c r="C4" s="122">
        <v>4</v>
      </c>
      <c r="D4" s="122" t="s">
        <v>5799</v>
      </c>
      <c r="E4" s="124" t="s">
        <v>5800</v>
      </c>
      <c r="F4" s="124" t="s">
        <v>5801</v>
      </c>
      <c r="G4" s="124" t="s">
        <v>5802</v>
      </c>
      <c r="L4" s="336" t="s">
        <v>39</v>
      </c>
      <c r="M4" s="336" t="s">
        <v>43</v>
      </c>
      <c r="N4" s="337" t="s">
        <v>65</v>
      </c>
      <c r="O4" s="337" t="s">
        <v>49</v>
      </c>
      <c r="P4" s="338" t="s">
        <v>77</v>
      </c>
    </row>
    <row r="5" spans="2:16" ht="20.25" customHeight="1" x14ac:dyDescent="0.2">
      <c r="B5" s="122" t="s">
        <v>5734</v>
      </c>
      <c r="C5" s="122">
        <v>4</v>
      </c>
      <c r="D5" s="122" t="s">
        <v>5803</v>
      </c>
      <c r="E5" s="124" t="s">
        <v>5804</v>
      </c>
      <c r="F5" s="124" t="s">
        <v>5805</v>
      </c>
      <c r="G5" s="124" t="s">
        <v>5806</v>
      </c>
      <c r="L5" s="339" t="s">
        <v>99</v>
      </c>
      <c r="M5" s="340" t="s">
        <v>785</v>
      </c>
      <c r="N5" s="340" t="s">
        <v>786</v>
      </c>
      <c r="O5" s="340" t="s">
        <v>788</v>
      </c>
      <c r="P5" s="341" t="s">
        <v>790</v>
      </c>
    </row>
    <row r="6" spans="2:16" ht="20.25" customHeight="1" x14ac:dyDescent="0.2">
      <c r="B6" s="122" t="s">
        <v>5734</v>
      </c>
      <c r="C6" s="122">
        <v>4</v>
      </c>
      <c r="D6" s="122" t="s">
        <v>5807</v>
      </c>
      <c r="E6" s="124" t="s">
        <v>5808</v>
      </c>
      <c r="F6" s="124" t="s">
        <v>5809</v>
      </c>
      <c r="G6" s="124" t="s">
        <v>5810</v>
      </c>
      <c r="L6" s="339" t="s">
        <v>99</v>
      </c>
      <c r="M6" s="340" t="s">
        <v>779</v>
      </c>
      <c r="N6" s="340" t="s">
        <v>780</v>
      </c>
      <c r="O6" s="340" t="s">
        <v>782</v>
      </c>
      <c r="P6" s="341" t="s">
        <v>784</v>
      </c>
    </row>
    <row r="7" spans="2:16" ht="20.25" customHeight="1" x14ac:dyDescent="0.2">
      <c r="B7" s="122" t="s">
        <v>5734</v>
      </c>
      <c r="C7" s="122">
        <v>4</v>
      </c>
      <c r="D7" s="122" t="s">
        <v>5811</v>
      </c>
      <c r="E7" s="124" t="s">
        <v>5812</v>
      </c>
      <c r="F7" s="124" t="s">
        <v>5813</v>
      </c>
      <c r="G7" s="124" t="s">
        <v>5814</v>
      </c>
      <c r="L7" s="345" t="s">
        <v>99</v>
      </c>
    </row>
    <row r="8" spans="2:16" ht="20.25" customHeight="1" x14ac:dyDescent="0.2">
      <c r="B8" s="122" t="s">
        <v>5734</v>
      </c>
      <c r="C8" s="122">
        <v>4</v>
      </c>
      <c r="D8" s="122" t="s">
        <v>5815</v>
      </c>
      <c r="E8" s="124" t="s">
        <v>5816</v>
      </c>
      <c r="F8" s="124" t="s">
        <v>5817</v>
      </c>
      <c r="G8" s="124" t="s">
        <v>5818</v>
      </c>
    </row>
    <row r="9" spans="2:16" ht="20.25" customHeight="1" x14ac:dyDescent="0.2">
      <c r="B9" s="122" t="s">
        <v>5734</v>
      </c>
      <c r="C9" s="122">
        <v>4</v>
      </c>
      <c r="D9" s="122" t="s">
        <v>5819</v>
      </c>
      <c r="E9" s="125" t="s">
        <v>5820</v>
      </c>
      <c r="F9" s="125" t="s">
        <v>5821</v>
      </c>
      <c r="G9" s="125" t="s">
        <v>5822</v>
      </c>
    </row>
    <row r="10" spans="2:16" ht="20.25" customHeight="1" x14ac:dyDescent="0.2">
      <c r="B10" s="122" t="s">
        <v>5734</v>
      </c>
      <c r="C10" s="122">
        <v>4</v>
      </c>
      <c r="D10" s="122" t="s">
        <v>5823</v>
      </c>
      <c r="E10" s="125" t="s">
        <v>5824</v>
      </c>
      <c r="F10" s="125" t="s">
        <v>5825</v>
      </c>
      <c r="G10" s="125" t="s">
        <v>5826</v>
      </c>
    </row>
    <row r="11" spans="2:16" ht="20.25" customHeight="1" x14ac:dyDescent="0.2">
      <c r="B11" s="122" t="s">
        <v>5734</v>
      </c>
      <c r="C11" s="122">
        <v>4</v>
      </c>
      <c r="D11" s="122" t="s">
        <v>5739</v>
      </c>
      <c r="E11" s="125" t="s">
        <v>5740</v>
      </c>
      <c r="F11" s="124" t="s">
        <v>5827</v>
      </c>
      <c r="G11" s="124" t="s">
        <v>5828</v>
      </c>
    </row>
    <row r="12" spans="2:16" ht="20.25" customHeight="1" x14ac:dyDescent="0.2">
      <c r="D12" s="312"/>
      <c r="E12" s="313"/>
      <c r="F12" s="313"/>
    </row>
    <row r="13" spans="2:16" ht="20.25" customHeight="1" x14ac:dyDescent="0.2">
      <c r="D13" s="126" t="s">
        <v>5829</v>
      </c>
      <c r="E13" s="127" t="s">
        <v>5830</v>
      </c>
      <c r="F13" s="313"/>
    </row>
    <row r="14" spans="2:16" ht="20.25" customHeight="1" x14ac:dyDescent="0.2">
      <c r="D14" s="123" t="s">
        <v>5831</v>
      </c>
      <c r="E14" s="127" t="s">
        <v>5832</v>
      </c>
      <c r="F14" s="313"/>
    </row>
    <row r="15" spans="2:16" ht="20.25" customHeight="1" x14ac:dyDescent="0.2">
      <c r="D15" s="312"/>
      <c r="E15" s="313"/>
      <c r="F15" s="313"/>
    </row>
    <row r="16" spans="2:16" ht="20.25" customHeight="1" x14ac:dyDescent="0.2">
      <c r="D16" s="314"/>
      <c r="E16" s="315"/>
      <c r="F16" s="315"/>
    </row>
    <row r="17" spans="4:6" ht="20.25" customHeight="1" x14ac:dyDescent="0.2">
      <c r="D17" s="312"/>
      <c r="E17" s="315"/>
      <c r="F17" s="315"/>
    </row>
    <row r="18" spans="4:6" ht="20.25" customHeight="1" x14ac:dyDescent="0.2">
      <c r="D18" s="312"/>
      <c r="E18" s="315"/>
      <c r="F18" s="315"/>
    </row>
    <row r="19" spans="4:6" ht="20.25" customHeight="1" x14ac:dyDescent="0.2">
      <c r="D19" s="312"/>
      <c r="E19" s="123" t="s">
        <v>5833</v>
      </c>
      <c r="F19" s="313"/>
    </row>
    <row r="20" spans="4:6" ht="20.25" customHeight="1" x14ac:dyDescent="0.2">
      <c r="E20" s="123" t="s">
        <v>5834</v>
      </c>
    </row>
    <row r="21" spans="4:6" ht="20.25" customHeight="1" x14ac:dyDescent="0.2">
      <c r="E21" s="126" t="s">
        <v>5835</v>
      </c>
    </row>
  </sheetData>
  <conditionalFormatting sqref="D3:D11">
    <cfRule type="duplicateValues" dxfId="24" priority="31"/>
    <cfRule type="duplicateValues" dxfId="23" priority="32"/>
    <cfRule type="duplicateValues" dxfId="22" priority="33"/>
  </conditionalFormatting>
  <conditionalFormatting sqref="D13:D14">
    <cfRule type="duplicateValues" dxfId="21" priority="24"/>
    <cfRule type="duplicateValues" dxfId="20" priority="25"/>
    <cfRule type="duplicateValues" dxfId="19" priority="26"/>
    <cfRule type="duplicateValues" dxfId="18" priority="27"/>
    <cfRule type="duplicateValues" dxfId="17" priority="28"/>
    <cfRule type="duplicateValues" dxfId="16" priority="29"/>
    <cfRule type="duplicateValues" dxfId="15" priority="30"/>
  </conditionalFormatting>
  <conditionalFormatting sqref="M4">
    <cfRule type="duplicateValues" dxfId="14" priority="20"/>
    <cfRule type="duplicateValues" dxfId="13" priority="21"/>
    <cfRule type="duplicateValues" dxfId="12" priority="22"/>
    <cfRule type="duplicateValues" dxfId="11" priority="23"/>
  </conditionalFormatting>
  <conditionalFormatting sqref="M5:M6">
    <cfRule type="duplicateValues" dxfId="10" priority="4"/>
    <cfRule type="duplicateValues" dxfId="9" priority="5"/>
    <cfRule type="duplicateValues" dxfId="8" priority="6"/>
  </conditionalFormatting>
  <conditionalFormatting sqref="N4">
    <cfRule type="duplicateValues" dxfId="7" priority="17"/>
    <cfRule type="duplicateValues" dxfId="6" priority="18"/>
    <cfRule type="duplicateValues" dxfId="5" priority="19"/>
  </conditionalFormatting>
  <conditionalFormatting sqref="N5:N6">
    <cfRule type="duplicateValues" dxfId="4" priority="1"/>
    <cfRule type="duplicateValues" dxfId="3" priority="2"/>
    <cfRule type="duplicateValues" dxfId="2" priority="3"/>
  </conditionalFormatting>
  <dataValidations count="1">
    <dataValidation allowBlank="1" showInputMessage="1" showErrorMessage="1" sqref="C6:C11 B3:D5 D13 E20 L5:L7 P5:P6" xr:uid="{B38E0AF4-2B0D-45D5-9E94-3B39AD3FD761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F158-B8B6-4A34-A53E-05C56ACA513E}">
  <dimension ref="A1:DP164"/>
  <sheetViews>
    <sheetView topLeftCell="A10" workbookViewId="0">
      <selection activeCell="H138" sqref="H138"/>
    </sheetView>
  </sheetViews>
  <sheetFormatPr defaultRowHeight="15" x14ac:dyDescent="0.25"/>
  <cols>
    <col min="1" max="1" width="11.42578125" style="104" bestFit="1" customWidth="1"/>
    <col min="2" max="2" width="29.28515625" style="99" bestFit="1" customWidth="1"/>
    <col min="3" max="3" width="9.140625" style="99" bestFit="1" customWidth="1"/>
    <col min="4" max="4" width="15.28515625" style="99" bestFit="1" customWidth="1"/>
    <col min="5" max="5" width="16.85546875" style="99" bestFit="1" customWidth="1"/>
    <col min="6" max="6" width="12.85546875" style="101" bestFit="1" customWidth="1"/>
    <col min="7" max="7" width="31" style="99" bestFit="1" customWidth="1"/>
    <col min="8" max="8" width="21.5703125" style="99" bestFit="1" customWidth="1"/>
    <col min="9" max="9" width="36.140625" style="99" bestFit="1" customWidth="1"/>
    <col min="10" max="10" width="54.28515625" style="101" bestFit="1" customWidth="1"/>
    <col min="11" max="11" width="20" style="101" customWidth="1"/>
    <col min="12" max="12" width="18.7109375" style="101" customWidth="1"/>
    <col min="13" max="13" width="35.140625" style="99" bestFit="1" customWidth="1"/>
    <col min="14" max="14" width="48.5703125" style="99" bestFit="1" customWidth="1"/>
    <col min="15" max="15" width="30.28515625" style="103" bestFit="1" customWidth="1"/>
    <col min="16" max="16" width="41.85546875" style="99" bestFit="1" customWidth="1"/>
    <col min="17" max="17" width="36.7109375" style="99" bestFit="1" customWidth="1"/>
    <col min="18" max="18" width="42.85546875" style="99" bestFit="1" customWidth="1"/>
    <col min="19" max="21" width="35.5703125" style="99" bestFit="1" customWidth="1"/>
    <col min="22" max="22" width="25.85546875" style="99" bestFit="1" customWidth="1"/>
    <col min="23" max="23" width="28.5703125" style="99" customWidth="1"/>
    <col min="24" max="24" width="32.28515625" style="99" bestFit="1" customWidth="1"/>
    <col min="25" max="25" width="17.7109375" style="99" bestFit="1" customWidth="1"/>
    <col min="26" max="26" width="20.85546875" style="102" bestFit="1" customWidth="1"/>
    <col min="27" max="27" width="84.42578125" style="99" bestFit="1" customWidth="1"/>
    <col min="28" max="28" width="54.28515625" style="101" bestFit="1" customWidth="1"/>
    <col min="29" max="29" width="15.85546875" style="101" bestFit="1" customWidth="1"/>
    <col min="30" max="30" width="17.42578125" style="101" bestFit="1" customWidth="1"/>
    <col min="31" max="31" width="36.140625" style="99" bestFit="1" customWidth="1"/>
    <col min="32" max="32" width="26.7109375" style="101" bestFit="1" customWidth="1"/>
    <col min="33" max="33" width="32.7109375" style="101" bestFit="1" customWidth="1"/>
    <col min="34" max="34" width="28.5703125" style="99" bestFit="1" customWidth="1"/>
    <col min="35" max="35" width="34.7109375" style="99" bestFit="1" customWidth="1"/>
    <col min="36" max="36" width="32.5703125" style="99" bestFit="1" customWidth="1"/>
    <col min="37" max="37" width="46.85546875" style="99" bestFit="1" customWidth="1"/>
    <col min="38" max="38" width="15.28515625" style="99" bestFit="1" customWidth="1"/>
    <col min="39" max="39" width="58.7109375" style="99" bestFit="1" customWidth="1"/>
    <col min="40" max="40" width="89.140625" style="99" customWidth="1"/>
    <col min="41" max="41" width="30.85546875" style="101" bestFit="1" customWidth="1"/>
    <col min="42" max="42" width="46.28515625" style="99" bestFit="1" customWidth="1"/>
    <col min="43" max="43" width="32.42578125" style="99" bestFit="1" customWidth="1"/>
    <col min="44" max="44" width="38.5703125" style="99" bestFit="1" customWidth="1"/>
    <col min="45" max="45" width="36.28515625" style="99" bestFit="1" customWidth="1"/>
    <col min="46" max="46" width="33.7109375" style="99" bestFit="1" customWidth="1"/>
    <col min="47" max="47" width="58.42578125" style="99" bestFit="1" customWidth="1"/>
    <col min="48" max="48" width="38.85546875" style="99" bestFit="1" customWidth="1"/>
    <col min="49" max="49" width="41.140625" style="99" bestFit="1" customWidth="1"/>
    <col min="50" max="50" width="31" style="174" bestFit="1" customWidth="1"/>
    <col min="51" max="51" width="24.140625" style="99" bestFit="1" customWidth="1"/>
    <col min="52" max="52" width="29.140625" style="102" bestFit="1" customWidth="1"/>
    <col min="53" max="53" width="58.7109375" style="102" bestFit="1" customWidth="1"/>
    <col min="54" max="54" width="77.140625" style="102" bestFit="1" customWidth="1"/>
    <col min="55" max="55" width="17" style="102" bestFit="1" customWidth="1"/>
    <col min="56" max="56" width="17" style="99" customWidth="1"/>
    <col min="57" max="57" width="255.7109375" style="99" bestFit="1" customWidth="1"/>
    <col min="58" max="63" width="9.140625" style="99" bestFit="1" customWidth="1"/>
    <col min="64" max="64" width="22.7109375" style="99" bestFit="1" customWidth="1"/>
    <col min="65" max="161" width="9.140625" style="99" bestFit="1" customWidth="1"/>
    <col min="162" max="16384" width="9.140625" style="99"/>
  </cols>
  <sheetData>
    <row r="1" spans="1:120" ht="15" hidden="1" customHeight="1" x14ac:dyDescent="0.25">
      <c r="O1" s="99"/>
      <c r="Z1" s="99"/>
      <c r="AX1" s="99"/>
      <c r="AZ1" s="99"/>
      <c r="BA1" s="99"/>
      <c r="BB1" s="99"/>
      <c r="BC1" s="99"/>
    </row>
    <row r="2" spans="1:120" ht="15" hidden="1" customHeight="1" x14ac:dyDescent="0.25">
      <c r="O2" s="99"/>
      <c r="Z2" s="99"/>
      <c r="AX2" s="99"/>
      <c r="AZ2" s="99"/>
      <c r="BA2" s="99"/>
      <c r="BB2" s="99"/>
      <c r="BC2" s="99"/>
    </row>
    <row r="3" spans="1:120" ht="15" hidden="1" customHeight="1" x14ac:dyDescent="0.25">
      <c r="C3" s="99">
        <v>2</v>
      </c>
      <c r="D3" s="99" t="s">
        <v>0</v>
      </c>
      <c r="G3" s="99" t="s">
        <v>1</v>
      </c>
      <c r="H3" s="99" t="s">
        <v>2</v>
      </c>
      <c r="I3" s="99" t="s">
        <v>3</v>
      </c>
      <c r="M3" s="99" t="s">
        <v>4</v>
      </c>
      <c r="N3" s="99" t="s">
        <v>5</v>
      </c>
      <c r="O3" s="99"/>
      <c r="P3" s="99" t="s">
        <v>6</v>
      </c>
      <c r="R3" s="99" t="s">
        <v>6</v>
      </c>
      <c r="X3" s="99" t="s">
        <v>7</v>
      </c>
      <c r="Z3" s="99"/>
      <c r="AE3" s="99" t="s">
        <v>3</v>
      </c>
      <c r="AH3" s="99" t="s">
        <v>6</v>
      </c>
      <c r="AI3" s="99" t="s">
        <v>6</v>
      </c>
      <c r="AJ3" s="99" t="s">
        <v>4</v>
      </c>
      <c r="AL3" s="99" t="s">
        <v>8</v>
      </c>
      <c r="AM3" s="99" t="s">
        <v>9</v>
      </c>
      <c r="AX3" s="99"/>
      <c r="AZ3" s="99"/>
      <c r="BA3" s="99"/>
      <c r="BB3" s="99"/>
      <c r="BC3" s="99"/>
    </row>
    <row r="4" spans="1:120" ht="15" hidden="1" customHeight="1" x14ac:dyDescent="0.25">
      <c r="C4" s="99">
        <v>4</v>
      </c>
      <c r="G4" s="99" t="s">
        <v>10</v>
      </c>
      <c r="H4" s="99" t="s">
        <v>11</v>
      </c>
      <c r="I4" s="99" t="s">
        <v>12</v>
      </c>
      <c r="M4" s="99" t="s">
        <v>13</v>
      </c>
      <c r="N4" s="99" t="s">
        <v>14</v>
      </c>
      <c r="O4" s="99"/>
      <c r="P4" s="99" t="s">
        <v>15</v>
      </c>
      <c r="R4" s="99" t="s">
        <v>15</v>
      </c>
      <c r="Z4" s="99"/>
      <c r="AE4" s="99" t="s">
        <v>12</v>
      </c>
      <c r="AH4" s="99" t="s">
        <v>16</v>
      </c>
      <c r="AI4" s="99" t="s">
        <v>15</v>
      </c>
      <c r="AJ4" s="99" t="s">
        <v>13</v>
      </c>
      <c r="AL4" s="99" t="s">
        <v>17</v>
      </c>
      <c r="AM4" s="99" t="s">
        <v>18</v>
      </c>
      <c r="AX4" s="99"/>
      <c r="AZ4" s="99"/>
      <c r="BA4" s="99"/>
      <c r="BB4" s="99"/>
      <c r="BC4" s="99"/>
    </row>
    <row r="5" spans="1:120" ht="15" hidden="1" customHeight="1" x14ac:dyDescent="0.25">
      <c r="G5" s="99" t="s">
        <v>19</v>
      </c>
      <c r="H5" s="100" t="s">
        <v>20</v>
      </c>
      <c r="I5" s="99" t="s">
        <v>21</v>
      </c>
      <c r="N5" s="99" t="s">
        <v>22</v>
      </c>
      <c r="O5" s="99"/>
      <c r="Z5" s="99"/>
      <c r="AH5" s="99" t="s">
        <v>23</v>
      </c>
      <c r="AI5" s="99" t="s">
        <v>24</v>
      </c>
      <c r="AM5" s="99" t="s">
        <v>25</v>
      </c>
      <c r="AX5" s="99"/>
      <c r="AZ5" s="99"/>
      <c r="BA5" s="99"/>
      <c r="BB5" s="99"/>
      <c r="BC5" s="99"/>
    </row>
    <row r="6" spans="1:120" ht="15" hidden="1" customHeight="1" x14ac:dyDescent="0.25">
      <c r="G6" s="99" t="s">
        <v>26</v>
      </c>
      <c r="N6" s="99" t="s">
        <v>27</v>
      </c>
      <c r="O6" s="99"/>
      <c r="Z6" s="99"/>
      <c r="AH6" s="99" t="s">
        <v>28</v>
      </c>
      <c r="AI6" s="99" t="s">
        <v>17</v>
      </c>
      <c r="AM6" s="99" t="s">
        <v>29</v>
      </c>
      <c r="AX6" s="99"/>
      <c r="AZ6" s="99"/>
      <c r="BA6" s="99"/>
      <c r="BB6" s="99"/>
      <c r="BC6" s="99"/>
    </row>
    <row r="7" spans="1:120" ht="15" hidden="1" customHeight="1" x14ac:dyDescent="0.25">
      <c r="G7" s="99" t="s">
        <v>30</v>
      </c>
      <c r="O7" s="99"/>
      <c r="Z7" s="99"/>
      <c r="AX7" s="99"/>
      <c r="AZ7" s="99"/>
      <c r="BA7" s="99"/>
      <c r="BB7" s="99"/>
      <c r="BC7" s="99"/>
    </row>
    <row r="8" spans="1:120" ht="15" hidden="1" customHeight="1" x14ac:dyDescent="0.25">
      <c r="G8" s="99" t="s">
        <v>31</v>
      </c>
      <c r="O8" s="99"/>
      <c r="Z8" s="99"/>
      <c r="AX8" s="99"/>
      <c r="AZ8" s="99"/>
      <c r="BA8" s="99"/>
      <c r="BB8" s="99"/>
      <c r="BC8" s="99"/>
    </row>
    <row r="9" spans="1:120" ht="15" hidden="1" customHeight="1" x14ac:dyDescent="0.25">
      <c r="G9" s="99" t="s">
        <v>32</v>
      </c>
      <c r="O9" s="99"/>
      <c r="Z9" s="99"/>
      <c r="AX9" s="99"/>
      <c r="AZ9" s="99"/>
      <c r="BA9" s="99"/>
      <c r="BB9" s="99"/>
      <c r="BC9" s="99"/>
    </row>
    <row r="10" spans="1:120" ht="15" customHeight="1" x14ac:dyDescent="0.25">
      <c r="O10" s="99"/>
      <c r="Z10" s="99"/>
      <c r="AP10" s="373"/>
      <c r="AQ10" s="373"/>
      <c r="AR10" s="373"/>
      <c r="AS10" s="373"/>
      <c r="AT10" s="373"/>
      <c r="AU10" s="373"/>
      <c r="AV10" s="101"/>
      <c r="AW10" s="101"/>
      <c r="AZ10" s="99"/>
      <c r="BA10" s="99"/>
      <c r="BB10" s="99"/>
      <c r="BC10" s="99"/>
    </row>
    <row r="11" spans="1:120" ht="15" customHeight="1" x14ac:dyDescent="0.25">
      <c r="O11" s="99"/>
      <c r="Z11" s="99"/>
      <c r="AP11" s="101"/>
      <c r="AQ11" s="101"/>
      <c r="AR11" s="101"/>
      <c r="AS11" s="101"/>
      <c r="AT11" s="101"/>
      <c r="AU11" s="132" t="s">
        <v>5836</v>
      </c>
      <c r="AV11" s="101"/>
      <c r="AW11" s="101"/>
      <c r="AZ11" s="99"/>
      <c r="BA11" s="99"/>
      <c r="BB11" s="99"/>
      <c r="BC11" s="99"/>
    </row>
    <row r="12" spans="1:120" s="105" customFormat="1" ht="18" customHeight="1" x14ac:dyDescent="0.25">
      <c r="A12" s="374" t="s">
        <v>33</v>
      </c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6"/>
      <c r="P12" s="377" t="s">
        <v>34</v>
      </c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8"/>
      <c r="AB12" s="379" t="s">
        <v>35</v>
      </c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79"/>
      <c r="AP12" s="380"/>
      <c r="AQ12" s="380"/>
      <c r="AR12" s="380"/>
      <c r="AS12" s="380"/>
      <c r="AT12" s="380"/>
      <c r="AU12" s="380"/>
      <c r="AV12" s="380"/>
      <c r="AW12" s="380"/>
      <c r="AX12" s="381"/>
      <c r="AY12" s="380"/>
      <c r="AZ12" s="380"/>
      <c r="BA12" s="380"/>
      <c r="BB12" s="382" t="s">
        <v>36</v>
      </c>
      <c r="BC12" s="383"/>
      <c r="BD12" s="130"/>
    </row>
    <row r="13" spans="1:120" s="101" customFormat="1" ht="15" customHeight="1" x14ac:dyDescent="0.25">
      <c r="A13" s="190" t="s">
        <v>38</v>
      </c>
      <c r="B13" s="111" t="s">
        <v>39</v>
      </c>
      <c r="C13" s="111" t="s">
        <v>40</v>
      </c>
      <c r="D13" s="111" t="s">
        <v>41</v>
      </c>
      <c r="E13" s="111" t="s">
        <v>42</v>
      </c>
      <c r="F13" s="111" t="s">
        <v>43</v>
      </c>
      <c r="G13" s="111" t="s">
        <v>5837</v>
      </c>
      <c r="H13" s="111" t="s">
        <v>45</v>
      </c>
      <c r="I13" s="111" t="s">
        <v>46</v>
      </c>
      <c r="J13" s="112" t="s">
        <v>47</v>
      </c>
      <c r="K13" s="112" t="s">
        <v>48</v>
      </c>
      <c r="L13" s="112" t="s">
        <v>49</v>
      </c>
      <c r="M13" s="112" t="s">
        <v>50</v>
      </c>
      <c r="N13" s="112" t="s">
        <v>51</v>
      </c>
      <c r="O13" s="112" t="s">
        <v>52</v>
      </c>
      <c r="P13" s="113" t="s">
        <v>5838</v>
      </c>
      <c r="Q13" s="113" t="s">
        <v>5839</v>
      </c>
      <c r="R13" s="113" t="s">
        <v>5840</v>
      </c>
      <c r="S13" s="113" t="s">
        <v>56</v>
      </c>
      <c r="T13" s="113" t="s">
        <v>5841</v>
      </c>
      <c r="U13" s="113" t="s">
        <v>5842</v>
      </c>
      <c r="V13" s="113" t="s">
        <v>59</v>
      </c>
      <c r="W13" s="113" t="s">
        <v>60</v>
      </c>
      <c r="X13" s="113" t="s">
        <v>5843</v>
      </c>
      <c r="Y13" s="113" t="s">
        <v>62</v>
      </c>
      <c r="Z13" s="113" t="s">
        <v>63</v>
      </c>
      <c r="AA13" s="113" t="s">
        <v>64</v>
      </c>
      <c r="AB13" s="114" t="s">
        <v>65</v>
      </c>
      <c r="AC13" s="114" t="s">
        <v>48</v>
      </c>
      <c r="AD13" s="114" t="s">
        <v>49</v>
      </c>
      <c r="AE13" s="115" t="s">
        <v>66</v>
      </c>
      <c r="AF13" s="114" t="s">
        <v>5844</v>
      </c>
      <c r="AG13" s="114" t="s">
        <v>5845</v>
      </c>
      <c r="AH13" s="114" t="s">
        <v>5846</v>
      </c>
      <c r="AI13" s="115" t="s">
        <v>5847</v>
      </c>
      <c r="AJ13" s="114" t="s">
        <v>67</v>
      </c>
      <c r="AK13" s="114" t="s">
        <v>73</v>
      </c>
      <c r="AL13" s="114" t="s">
        <v>74</v>
      </c>
      <c r="AM13" s="114" t="s">
        <v>75</v>
      </c>
      <c r="AN13" s="114" t="s">
        <v>76</v>
      </c>
      <c r="AO13" s="114" t="s">
        <v>77</v>
      </c>
      <c r="AP13" s="114" t="s">
        <v>78</v>
      </c>
      <c r="AQ13" s="114" t="s">
        <v>79</v>
      </c>
      <c r="AR13" s="114" t="s">
        <v>80</v>
      </c>
      <c r="AS13" s="114" t="s">
        <v>81</v>
      </c>
      <c r="AT13" s="114" t="s">
        <v>82</v>
      </c>
      <c r="AU13" s="114" t="s">
        <v>5848</v>
      </c>
      <c r="AV13" s="114" t="s">
        <v>83</v>
      </c>
      <c r="AW13" s="114" t="s">
        <v>84</v>
      </c>
      <c r="AX13" s="175" t="s">
        <v>5843</v>
      </c>
      <c r="AY13" s="114" t="s">
        <v>85</v>
      </c>
      <c r="AZ13" s="114" t="s">
        <v>86</v>
      </c>
      <c r="BA13" s="116" t="s">
        <v>87</v>
      </c>
      <c r="BB13" s="117" t="s">
        <v>88</v>
      </c>
      <c r="BC13" s="118" t="s">
        <v>89</v>
      </c>
      <c r="BD13" s="131"/>
    </row>
    <row r="14" spans="1:120" s="107" customFormat="1" ht="15" hidden="1" customHeight="1" x14ac:dyDescent="0.25">
      <c r="A14" s="144">
        <v>1</v>
      </c>
      <c r="B14" s="144" t="s">
        <v>99</v>
      </c>
      <c r="C14" s="144">
        <v>1</v>
      </c>
      <c r="D14" s="144">
        <v>0</v>
      </c>
      <c r="E14" s="144">
        <v>0</v>
      </c>
      <c r="F14" s="145" t="s">
        <v>100</v>
      </c>
      <c r="G14" s="144" t="s">
        <v>1</v>
      </c>
      <c r="H14" s="144" t="s">
        <v>20</v>
      </c>
      <c r="I14" s="144" t="s">
        <v>12</v>
      </c>
      <c r="J14" s="146" t="s">
        <v>101</v>
      </c>
      <c r="K14" s="146" t="s">
        <v>5849</v>
      </c>
      <c r="L14" s="146" t="s">
        <v>103</v>
      </c>
      <c r="M14" s="147" t="s">
        <v>4</v>
      </c>
      <c r="N14" s="147" t="s">
        <v>5</v>
      </c>
      <c r="O14" s="148">
        <v>44900</v>
      </c>
      <c r="P14" s="149" t="s">
        <v>24</v>
      </c>
      <c r="Q14" s="149" t="s">
        <v>24</v>
      </c>
      <c r="R14" s="149" t="s">
        <v>24</v>
      </c>
      <c r="S14" s="149" t="s">
        <v>24</v>
      </c>
      <c r="T14" s="149" t="s">
        <v>24</v>
      </c>
      <c r="U14" s="149" t="s">
        <v>24</v>
      </c>
      <c r="V14" s="149" t="s">
        <v>24</v>
      </c>
      <c r="W14" s="149" t="s">
        <v>24</v>
      </c>
      <c r="X14" s="149" t="s">
        <v>24</v>
      </c>
      <c r="Y14" s="149" t="s">
        <v>24</v>
      </c>
      <c r="Z14" s="149" t="s">
        <v>24</v>
      </c>
      <c r="AA14" s="144"/>
      <c r="AB14" s="146" t="s">
        <v>101</v>
      </c>
      <c r="AC14" s="145" t="s">
        <v>5849</v>
      </c>
      <c r="AD14" s="145" t="s">
        <v>103</v>
      </c>
      <c r="AE14" s="144" t="s">
        <v>12</v>
      </c>
      <c r="AF14" s="150">
        <v>0</v>
      </c>
      <c r="AG14" s="150">
        <v>60000</v>
      </c>
      <c r="AH14" s="151" t="s">
        <v>6</v>
      </c>
      <c r="AI14" s="144" t="s">
        <v>105</v>
      </c>
      <c r="AJ14" s="144" t="s">
        <v>4</v>
      </c>
      <c r="AK14" s="144" t="s">
        <v>105</v>
      </c>
      <c r="AL14" s="144" t="s">
        <v>17</v>
      </c>
      <c r="AM14" s="144" t="s">
        <v>74</v>
      </c>
      <c r="AN14" s="144"/>
      <c r="AO14" s="145"/>
      <c r="AP14" s="144"/>
      <c r="AQ14" s="144"/>
      <c r="AR14" s="144"/>
      <c r="AS14" s="144"/>
      <c r="AT14" s="144"/>
      <c r="AU14" s="144"/>
      <c r="AV14" s="144"/>
      <c r="AW14" s="144"/>
      <c r="AX14" s="148"/>
      <c r="AY14" s="149"/>
      <c r="AZ14" s="144"/>
      <c r="BA14" s="144"/>
      <c r="BB14" s="152" t="s">
        <v>5850</v>
      </c>
      <c r="BC14" s="153" t="str">
        <f t="shared" ref="BC14:BC45" si="0">IF(AY14-ON14=0,"",AY14-O14)</f>
        <v/>
      </c>
      <c r="BD14" s="173"/>
      <c r="DP14" s="140"/>
    </row>
    <row r="15" spans="1:120" s="107" customFormat="1" ht="15" hidden="1" customHeight="1" x14ac:dyDescent="0.25">
      <c r="A15" s="144">
        <v>2</v>
      </c>
      <c r="B15" s="144" t="s">
        <v>99</v>
      </c>
      <c r="C15" s="144">
        <v>1</v>
      </c>
      <c r="D15" s="144">
        <v>0</v>
      </c>
      <c r="E15" s="144">
        <v>0</v>
      </c>
      <c r="F15" s="145" t="s">
        <v>108</v>
      </c>
      <c r="G15" s="144" t="s">
        <v>1</v>
      </c>
      <c r="H15" s="144" t="s">
        <v>2</v>
      </c>
      <c r="I15" s="144" t="s">
        <v>12</v>
      </c>
      <c r="J15" s="146" t="s">
        <v>101</v>
      </c>
      <c r="K15" s="146" t="s">
        <v>5849</v>
      </c>
      <c r="L15" s="146" t="s">
        <v>103</v>
      </c>
      <c r="M15" s="147" t="s">
        <v>4</v>
      </c>
      <c r="N15" s="147" t="s">
        <v>17</v>
      </c>
      <c r="O15" s="148">
        <v>44900</v>
      </c>
      <c r="P15" s="149" t="s">
        <v>139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4"/>
      <c r="AB15" s="146" t="s">
        <v>101</v>
      </c>
      <c r="AC15" s="145" t="s">
        <v>5849</v>
      </c>
      <c r="AD15" s="145" t="s">
        <v>103</v>
      </c>
      <c r="AE15" s="144" t="s">
        <v>12</v>
      </c>
      <c r="AF15" s="150">
        <v>26600</v>
      </c>
      <c r="AG15" s="150">
        <v>56600</v>
      </c>
      <c r="AH15" s="151"/>
      <c r="AI15" s="144"/>
      <c r="AJ15" s="144" t="s">
        <v>139</v>
      </c>
      <c r="AK15" s="144"/>
      <c r="AL15" s="144"/>
      <c r="AM15" s="144"/>
      <c r="AN15" s="144"/>
      <c r="AO15" s="145"/>
      <c r="AP15" s="144"/>
      <c r="AQ15" s="144"/>
      <c r="AR15" s="144"/>
      <c r="AS15" s="144"/>
      <c r="AT15" s="144"/>
      <c r="AU15" s="144"/>
      <c r="AV15" s="144"/>
      <c r="AW15" s="144"/>
      <c r="AX15" s="144"/>
      <c r="AY15" s="149"/>
      <c r="AZ15" s="144"/>
      <c r="BA15" s="144"/>
      <c r="BB15" s="154" t="s">
        <v>753</v>
      </c>
      <c r="BC15" s="153" t="str">
        <f t="shared" si="0"/>
        <v/>
      </c>
      <c r="BD15" s="173"/>
      <c r="DP15" s="140"/>
    </row>
    <row r="16" spans="1:120" s="107" customFormat="1" ht="15" hidden="1" customHeight="1" x14ac:dyDescent="0.25">
      <c r="A16" s="144">
        <v>3</v>
      </c>
      <c r="B16" s="144" t="s">
        <v>99</v>
      </c>
      <c r="C16" s="144">
        <v>1</v>
      </c>
      <c r="D16" s="144">
        <v>0</v>
      </c>
      <c r="E16" s="144">
        <v>0</v>
      </c>
      <c r="F16" s="145" t="s">
        <v>110</v>
      </c>
      <c r="G16" s="144" t="s">
        <v>1</v>
      </c>
      <c r="H16" s="144" t="s">
        <v>2</v>
      </c>
      <c r="I16" s="144" t="s">
        <v>12</v>
      </c>
      <c r="J16" s="146" t="s">
        <v>111</v>
      </c>
      <c r="K16" s="146" t="s">
        <v>112</v>
      </c>
      <c r="L16" s="146" t="s">
        <v>113</v>
      </c>
      <c r="M16" s="147" t="s">
        <v>4</v>
      </c>
      <c r="N16" s="147" t="s">
        <v>17</v>
      </c>
      <c r="O16" s="148">
        <v>44900</v>
      </c>
      <c r="P16" s="149" t="s">
        <v>139</v>
      </c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4"/>
      <c r="AB16" s="146" t="s">
        <v>111</v>
      </c>
      <c r="AC16" s="146" t="s">
        <v>112</v>
      </c>
      <c r="AD16" s="146" t="s">
        <v>113</v>
      </c>
      <c r="AE16" s="144" t="s">
        <v>12</v>
      </c>
      <c r="AF16" s="150">
        <v>15600</v>
      </c>
      <c r="AG16" s="150">
        <v>45600</v>
      </c>
      <c r="AH16" s="151"/>
      <c r="AI16" s="144"/>
      <c r="AJ16" s="144" t="s">
        <v>139</v>
      </c>
      <c r="AK16" s="144"/>
      <c r="AL16" s="144"/>
      <c r="AM16" s="144"/>
      <c r="AN16" s="144"/>
      <c r="AO16" s="145"/>
      <c r="AP16" s="144"/>
      <c r="AQ16" s="144"/>
      <c r="AR16" s="144"/>
      <c r="AS16" s="144"/>
      <c r="AT16" s="144"/>
      <c r="AU16" s="144"/>
      <c r="AV16" s="144"/>
      <c r="AW16" s="144"/>
      <c r="AX16" s="144"/>
      <c r="AY16" s="149"/>
      <c r="AZ16" s="144"/>
      <c r="BA16" s="144"/>
      <c r="BB16" s="152"/>
      <c r="BC16" s="153" t="str">
        <f t="shared" si="0"/>
        <v/>
      </c>
      <c r="BD16" s="173"/>
      <c r="DP16" s="140"/>
    </row>
    <row r="17" spans="1:120" s="107" customFormat="1" ht="15" hidden="1" customHeight="1" x14ac:dyDescent="0.25">
      <c r="A17" s="144">
        <v>4</v>
      </c>
      <c r="B17" s="144" t="s">
        <v>99</v>
      </c>
      <c r="C17" s="144">
        <v>1</v>
      </c>
      <c r="D17" s="144">
        <v>0</v>
      </c>
      <c r="E17" s="144">
        <v>0</v>
      </c>
      <c r="F17" s="145" t="s">
        <v>116</v>
      </c>
      <c r="G17" s="144" t="s">
        <v>1</v>
      </c>
      <c r="H17" s="144" t="s">
        <v>2</v>
      </c>
      <c r="I17" s="144" t="s">
        <v>12</v>
      </c>
      <c r="J17" s="146" t="s">
        <v>117</v>
      </c>
      <c r="K17" s="146" t="s">
        <v>118</v>
      </c>
      <c r="L17" s="146" t="s">
        <v>119</v>
      </c>
      <c r="M17" s="147" t="s">
        <v>4</v>
      </c>
      <c r="N17" s="147" t="s">
        <v>17</v>
      </c>
      <c r="O17" s="148">
        <v>44900</v>
      </c>
      <c r="P17" s="149" t="s">
        <v>139</v>
      </c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4"/>
      <c r="AB17" s="146" t="s">
        <v>117</v>
      </c>
      <c r="AC17" s="145" t="s">
        <v>118</v>
      </c>
      <c r="AD17" s="145" t="s">
        <v>119</v>
      </c>
      <c r="AE17" s="144" t="s">
        <v>12</v>
      </c>
      <c r="AF17" s="150">
        <v>14600</v>
      </c>
      <c r="AG17" s="150">
        <v>44600</v>
      </c>
      <c r="AH17" s="151"/>
      <c r="AI17" s="144"/>
      <c r="AJ17" s="144" t="s">
        <v>139</v>
      </c>
      <c r="AK17" s="144"/>
      <c r="AL17" s="144"/>
      <c r="AM17" s="144"/>
      <c r="AN17" s="144"/>
      <c r="AO17" s="145"/>
      <c r="AP17" s="144"/>
      <c r="AQ17" s="144"/>
      <c r="AR17" s="144"/>
      <c r="AS17" s="144"/>
      <c r="AT17" s="144"/>
      <c r="AU17" s="144"/>
      <c r="AV17" s="144"/>
      <c r="AW17" s="144"/>
      <c r="AX17" s="144"/>
      <c r="AY17" s="149"/>
      <c r="AZ17" s="144"/>
      <c r="BA17" s="144"/>
      <c r="BB17" s="152"/>
      <c r="BC17" s="153" t="str">
        <f t="shared" si="0"/>
        <v/>
      </c>
      <c r="BD17" s="173"/>
      <c r="DP17" s="140"/>
    </row>
    <row r="18" spans="1:120" s="128" customFormat="1" ht="15" customHeight="1" x14ac:dyDescent="0.25">
      <c r="A18" s="144">
        <v>5</v>
      </c>
      <c r="B18" s="144" t="s">
        <v>99</v>
      </c>
      <c r="C18" s="144">
        <v>1</v>
      </c>
      <c r="D18" s="144">
        <v>0</v>
      </c>
      <c r="E18" s="144">
        <v>0</v>
      </c>
      <c r="F18" s="163" t="s">
        <v>120</v>
      </c>
      <c r="G18" s="144" t="s">
        <v>1</v>
      </c>
      <c r="H18" s="144" t="s">
        <v>2</v>
      </c>
      <c r="I18" s="144" t="s">
        <v>121</v>
      </c>
      <c r="J18" s="146" t="s">
        <v>122</v>
      </c>
      <c r="K18" s="146" t="s">
        <v>123</v>
      </c>
      <c r="L18" s="146" t="s">
        <v>124</v>
      </c>
      <c r="M18" s="147" t="s">
        <v>4</v>
      </c>
      <c r="N18" s="147" t="s">
        <v>14</v>
      </c>
      <c r="O18" s="148">
        <v>44900</v>
      </c>
      <c r="P18" s="149" t="s">
        <v>17</v>
      </c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4"/>
      <c r="AB18" s="146" t="s">
        <v>125</v>
      </c>
      <c r="AC18" s="145" t="s">
        <v>126</v>
      </c>
      <c r="AD18" s="145" t="s">
        <v>127</v>
      </c>
      <c r="AE18" s="144" t="s">
        <v>3</v>
      </c>
      <c r="AF18" s="150">
        <v>107600</v>
      </c>
      <c r="AG18" s="150">
        <v>107600</v>
      </c>
      <c r="AH18" s="151" t="s">
        <v>6</v>
      </c>
      <c r="AI18" s="144" t="s">
        <v>105</v>
      </c>
      <c r="AJ18" s="144" t="s">
        <v>4</v>
      </c>
      <c r="AK18" s="144" t="s">
        <v>105</v>
      </c>
      <c r="AL18" s="144" t="s">
        <v>105</v>
      </c>
      <c r="AM18" s="144" t="s">
        <v>106</v>
      </c>
      <c r="AN18" s="144"/>
      <c r="AO18" s="145" t="s">
        <v>128</v>
      </c>
      <c r="AP18" s="144" t="s">
        <v>105</v>
      </c>
      <c r="AQ18" s="144" t="s">
        <v>105</v>
      </c>
      <c r="AR18" s="144" t="s">
        <v>5851</v>
      </c>
      <c r="AS18" s="144"/>
      <c r="AT18" s="144"/>
      <c r="AU18" s="144"/>
      <c r="AV18" s="144"/>
      <c r="AW18" s="144"/>
      <c r="AX18" s="148"/>
      <c r="AY18" s="149"/>
      <c r="AZ18" s="144"/>
      <c r="BA18" s="144"/>
      <c r="BB18" s="152" t="s">
        <v>5852</v>
      </c>
      <c r="BC18" s="153" t="str">
        <f t="shared" si="0"/>
        <v/>
      </c>
      <c r="BD18" s="173"/>
      <c r="BE18" s="107"/>
      <c r="BF18" s="107"/>
      <c r="BG18" s="107"/>
      <c r="BH18" s="107"/>
      <c r="BI18" s="107"/>
      <c r="BJ18" s="107"/>
      <c r="BK18" s="107"/>
      <c r="BL18" s="107" t="s">
        <v>5853</v>
      </c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DP18" s="141"/>
    </row>
    <row r="19" spans="1:120" s="128" customFormat="1" ht="15" customHeight="1" x14ac:dyDescent="0.25">
      <c r="A19" s="144">
        <v>6</v>
      </c>
      <c r="B19" s="144" t="s">
        <v>99</v>
      </c>
      <c r="C19" s="144">
        <v>1</v>
      </c>
      <c r="D19" s="144">
        <v>0</v>
      </c>
      <c r="E19" s="144">
        <v>0</v>
      </c>
      <c r="F19" s="163" t="s">
        <v>129</v>
      </c>
      <c r="G19" s="144" t="s">
        <v>1</v>
      </c>
      <c r="H19" s="144" t="s">
        <v>2</v>
      </c>
      <c r="I19" s="144" t="s">
        <v>121</v>
      </c>
      <c r="J19" s="146" t="s">
        <v>130</v>
      </c>
      <c r="K19" s="146" t="s">
        <v>131</v>
      </c>
      <c r="L19" s="146" t="s">
        <v>132</v>
      </c>
      <c r="M19" s="147" t="s">
        <v>4</v>
      </c>
      <c r="N19" s="147" t="s">
        <v>14</v>
      </c>
      <c r="O19" s="148">
        <v>44900</v>
      </c>
      <c r="P19" s="149" t="s">
        <v>17</v>
      </c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4"/>
      <c r="AB19" s="163" t="s">
        <v>5854</v>
      </c>
      <c r="AC19" s="145" t="s">
        <v>134</v>
      </c>
      <c r="AD19" s="145" t="s">
        <v>135</v>
      </c>
      <c r="AE19" s="144" t="s">
        <v>3</v>
      </c>
      <c r="AF19" s="150">
        <v>27100</v>
      </c>
      <c r="AG19" s="150">
        <v>57100</v>
      </c>
      <c r="AH19" s="151" t="s">
        <v>6</v>
      </c>
      <c r="AI19" s="144" t="s">
        <v>105</v>
      </c>
      <c r="AJ19" s="144" t="s">
        <v>4</v>
      </c>
      <c r="AK19" s="144" t="s">
        <v>105</v>
      </c>
      <c r="AL19" s="144" t="s">
        <v>105</v>
      </c>
      <c r="AM19" s="144" t="s">
        <v>106</v>
      </c>
      <c r="AN19" s="155"/>
      <c r="AO19" s="145" t="s">
        <v>136</v>
      </c>
      <c r="AP19" s="144" t="s">
        <v>105</v>
      </c>
      <c r="AQ19" s="144" t="s">
        <v>105</v>
      </c>
      <c r="AR19" s="144" t="s">
        <v>5851</v>
      </c>
      <c r="AS19" s="144"/>
      <c r="AT19" s="144"/>
      <c r="AU19" s="144"/>
      <c r="AV19" s="144"/>
      <c r="AW19" s="144"/>
      <c r="AX19" s="144"/>
      <c r="AY19" s="149"/>
      <c r="AZ19" s="144"/>
      <c r="BA19" s="144"/>
      <c r="BB19" s="152"/>
      <c r="BC19" s="153" t="str">
        <f t="shared" si="0"/>
        <v/>
      </c>
      <c r="BD19" s="173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DP19" s="141"/>
    </row>
    <row r="20" spans="1:120" s="107" customFormat="1" ht="15" customHeight="1" x14ac:dyDescent="0.25">
      <c r="A20" s="144">
        <v>7</v>
      </c>
      <c r="B20" s="144" t="s">
        <v>99</v>
      </c>
      <c r="C20" s="144">
        <v>1</v>
      </c>
      <c r="D20" s="144">
        <v>0</v>
      </c>
      <c r="E20" s="144">
        <v>0</v>
      </c>
      <c r="F20" s="145" t="s">
        <v>137</v>
      </c>
      <c r="G20" s="144" t="s">
        <v>1</v>
      </c>
      <c r="H20" s="144" t="s">
        <v>2</v>
      </c>
      <c r="I20" s="144" t="s">
        <v>12</v>
      </c>
      <c r="J20" s="145" t="s">
        <v>140</v>
      </c>
      <c r="K20" s="146" t="s">
        <v>141</v>
      </c>
      <c r="L20" s="146" t="s">
        <v>142</v>
      </c>
      <c r="M20" s="147" t="s">
        <v>4</v>
      </c>
      <c r="N20" s="147" t="s">
        <v>5</v>
      </c>
      <c r="O20" s="148">
        <v>44900</v>
      </c>
      <c r="P20" s="149" t="s">
        <v>24</v>
      </c>
      <c r="Q20" s="149" t="s">
        <v>24</v>
      </c>
      <c r="R20" s="149" t="s">
        <v>24</v>
      </c>
      <c r="S20" s="149" t="s">
        <v>24</v>
      </c>
      <c r="T20" s="149" t="s">
        <v>24</v>
      </c>
      <c r="U20" s="149" t="s">
        <v>24</v>
      </c>
      <c r="V20" s="149" t="s">
        <v>24</v>
      </c>
      <c r="W20" s="149" t="s">
        <v>24</v>
      </c>
      <c r="X20" s="149" t="s">
        <v>24</v>
      </c>
      <c r="Y20" s="149" t="s">
        <v>24</v>
      </c>
      <c r="Z20" s="149" t="s">
        <v>24</v>
      </c>
      <c r="AA20" s="144"/>
      <c r="AB20" s="145" t="s">
        <v>140</v>
      </c>
      <c r="AC20" s="145" t="s">
        <v>141</v>
      </c>
      <c r="AD20" s="145" t="s">
        <v>142</v>
      </c>
      <c r="AE20" s="144" t="s">
        <v>12</v>
      </c>
      <c r="AF20" s="150">
        <v>15900</v>
      </c>
      <c r="AG20" s="150">
        <v>45900</v>
      </c>
      <c r="AH20" s="151" t="s">
        <v>6</v>
      </c>
      <c r="AI20" s="144" t="s">
        <v>105</v>
      </c>
      <c r="AJ20" s="144" t="s">
        <v>4</v>
      </c>
      <c r="AK20" s="144" t="s">
        <v>105</v>
      </c>
      <c r="AL20" s="144" t="s">
        <v>105</v>
      </c>
      <c r="AM20" s="144" t="s">
        <v>106</v>
      </c>
      <c r="AN20" s="144"/>
      <c r="AO20" s="145" t="s">
        <v>143</v>
      </c>
      <c r="AP20" s="144" t="s">
        <v>105</v>
      </c>
      <c r="AQ20" s="144" t="s">
        <v>105</v>
      </c>
      <c r="AR20" s="144" t="s">
        <v>5851</v>
      </c>
      <c r="AS20" s="144"/>
      <c r="AT20" s="144"/>
      <c r="AU20" s="144"/>
      <c r="AV20" s="144"/>
      <c r="AW20" s="144"/>
      <c r="AX20" s="148"/>
      <c r="AY20" s="149"/>
      <c r="AZ20" s="144"/>
      <c r="BA20" s="144"/>
      <c r="BB20" s="152" t="s">
        <v>5855</v>
      </c>
      <c r="BC20" s="153" t="str">
        <f t="shared" si="0"/>
        <v/>
      </c>
      <c r="BD20" s="173"/>
      <c r="DP20" s="140"/>
    </row>
    <row r="21" spans="1:120" s="107" customFormat="1" ht="15" customHeight="1" x14ac:dyDescent="0.25">
      <c r="A21" s="144">
        <v>8</v>
      </c>
      <c r="B21" s="144" t="s">
        <v>99</v>
      </c>
      <c r="C21" s="144">
        <v>1</v>
      </c>
      <c r="D21" s="144">
        <v>0</v>
      </c>
      <c r="E21" s="144">
        <v>0</v>
      </c>
      <c r="F21" s="145" t="s">
        <v>144</v>
      </c>
      <c r="G21" s="144" t="s">
        <v>1</v>
      </c>
      <c r="H21" s="144" t="s">
        <v>2</v>
      </c>
      <c r="I21" s="144" t="s">
        <v>12</v>
      </c>
      <c r="J21" s="146" t="s">
        <v>5856</v>
      </c>
      <c r="K21" s="146" t="s">
        <v>146</v>
      </c>
      <c r="L21" s="146" t="s">
        <v>147</v>
      </c>
      <c r="M21" s="147" t="s">
        <v>4</v>
      </c>
      <c r="N21" s="147" t="s">
        <v>5</v>
      </c>
      <c r="O21" s="148">
        <v>44900</v>
      </c>
      <c r="P21" s="149" t="s">
        <v>24</v>
      </c>
      <c r="Q21" s="149" t="s">
        <v>24</v>
      </c>
      <c r="R21" s="149" t="s">
        <v>24</v>
      </c>
      <c r="S21" s="149" t="s">
        <v>24</v>
      </c>
      <c r="T21" s="149" t="s">
        <v>24</v>
      </c>
      <c r="U21" s="149" t="s">
        <v>24</v>
      </c>
      <c r="V21" s="149" t="s">
        <v>24</v>
      </c>
      <c r="W21" s="149" t="s">
        <v>24</v>
      </c>
      <c r="X21" s="149" t="s">
        <v>24</v>
      </c>
      <c r="Y21" s="149" t="s">
        <v>24</v>
      </c>
      <c r="Z21" s="149" t="s">
        <v>24</v>
      </c>
      <c r="AA21" s="144"/>
      <c r="AB21" s="146" t="s">
        <v>5856</v>
      </c>
      <c r="AC21" s="145" t="s">
        <v>146</v>
      </c>
      <c r="AD21" s="145" t="s">
        <v>147</v>
      </c>
      <c r="AE21" s="144" t="s">
        <v>12</v>
      </c>
      <c r="AF21" s="150">
        <v>48500</v>
      </c>
      <c r="AG21" s="150">
        <v>60000</v>
      </c>
      <c r="AH21" s="151" t="s">
        <v>6</v>
      </c>
      <c r="AI21" s="144" t="s">
        <v>105</v>
      </c>
      <c r="AJ21" s="144" t="s">
        <v>4</v>
      </c>
      <c r="AK21" s="144" t="s">
        <v>105</v>
      </c>
      <c r="AL21" s="144" t="s">
        <v>105</v>
      </c>
      <c r="AM21" s="144" t="s">
        <v>106</v>
      </c>
      <c r="AN21" s="144"/>
      <c r="AO21" s="145" t="s">
        <v>148</v>
      </c>
      <c r="AP21" s="144" t="s">
        <v>105</v>
      </c>
      <c r="AQ21" s="144" t="s">
        <v>105</v>
      </c>
      <c r="AR21" s="144" t="s">
        <v>5851</v>
      </c>
      <c r="AS21" s="144"/>
      <c r="AT21" s="144"/>
      <c r="AU21" s="144"/>
      <c r="AV21" s="144"/>
      <c r="AW21" s="144"/>
      <c r="AX21" s="148"/>
      <c r="AY21" s="149"/>
      <c r="AZ21" s="144"/>
      <c r="BA21" s="144"/>
      <c r="BB21" s="152" t="s">
        <v>5855</v>
      </c>
      <c r="BC21" s="153" t="str">
        <f t="shared" si="0"/>
        <v/>
      </c>
      <c r="BD21" s="173"/>
      <c r="DP21" s="140"/>
    </row>
    <row r="22" spans="1:120" s="107" customFormat="1" ht="15" hidden="1" customHeight="1" x14ac:dyDescent="0.25">
      <c r="A22" s="144">
        <v>9</v>
      </c>
      <c r="B22" s="144" t="s">
        <v>99</v>
      </c>
      <c r="C22" s="144">
        <v>1</v>
      </c>
      <c r="D22" s="144">
        <v>0</v>
      </c>
      <c r="E22" s="144">
        <v>0</v>
      </c>
      <c r="F22" s="145" t="s">
        <v>149</v>
      </c>
      <c r="G22" s="144" t="s">
        <v>1</v>
      </c>
      <c r="H22" s="144" t="s">
        <v>2</v>
      </c>
      <c r="I22" s="144" t="s">
        <v>12</v>
      </c>
      <c r="J22" s="146" t="s">
        <v>150</v>
      </c>
      <c r="K22" s="146" t="s">
        <v>151</v>
      </c>
      <c r="L22" s="146" t="s">
        <v>152</v>
      </c>
      <c r="M22" s="147" t="s">
        <v>4</v>
      </c>
      <c r="N22" s="147" t="s">
        <v>17</v>
      </c>
      <c r="O22" s="148">
        <v>44900</v>
      </c>
      <c r="P22" s="149" t="s">
        <v>139</v>
      </c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4"/>
      <c r="AB22" s="146" t="s">
        <v>150</v>
      </c>
      <c r="AC22" s="145" t="s">
        <v>151</v>
      </c>
      <c r="AD22" s="145" t="s">
        <v>152</v>
      </c>
      <c r="AE22" s="144" t="s">
        <v>12</v>
      </c>
      <c r="AF22" s="150">
        <v>19900</v>
      </c>
      <c r="AG22" s="150">
        <v>49900</v>
      </c>
      <c r="AH22" s="151"/>
      <c r="AI22" s="144"/>
      <c r="AJ22" s="144" t="s">
        <v>139</v>
      </c>
      <c r="AK22" s="144"/>
      <c r="AL22" s="144"/>
      <c r="AM22" s="144"/>
      <c r="AN22" s="144"/>
      <c r="AO22" s="145"/>
      <c r="AP22" s="144"/>
      <c r="AQ22" s="144"/>
      <c r="AR22" s="144"/>
      <c r="AS22" s="144"/>
      <c r="AT22" s="144"/>
      <c r="AU22" s="144"/>
      <c r="AV22" s="144"/>
      <c r="AW22" s="144"/>
      <c r="AX22" s="144"/>
      <c r="AY22" s="149"/>
      <c r="AZ22" s="144"/>
      <c r="BA22" s="144"/>
      <c r="BB22" s="152"/>
      <c r="BC22" s="153" t="str">
        <f t="shared" si="0"/>
        <v/>
      </c>
      <c r="BD22" s="173"/>
      <c r="DP22" s="140"/>
    </row>
    <row r="23" spans="1:120" s="107" customFormat="1" ht="15" hidden="1" customHeight="1" x14ac:dyDescent="0.25">
      <c r="A23" s="144">
        <v>10</v>
      </c>
      <c r="B23" s="144" t="s">
        <v>99</v>
      </c>
      <c r="C23" s="144">
        <v>1</v>
      </c>
      <c r="D23" s="144">
        <v>0</v>
      </c>
      <c r="E23" s="144">
        <v>0</v>
      </c>
      <c r="F23" s="145" t="s">
        <v>153</v>
      </c>
      <c r="G23" s="144" t="s">
        <v>1</v>
      </c>
      <c r="H23" s="144" t="s">
        <v>2</v>
      </c>
      <c r="I23" s="144" t="s">
        <v>12</v>
      </c>
      <c r="J23" s="146" t="s">
        <v>5857</v>
      </c>
      <c r="K23" s="146" t="s">
        <v>155</v>
      </c>
      <c r="L23" s="146" t="s">
        <v>156</v>
      </c>
      <c r="M23" s="147" t="s">
        <v>4</v>
      </c>
      <c r="N23" s="147" t="s">
        <v>5</v>
      </c>
      <c r="O23" s="148">
        <v>44900</v>
      </c>
      <c r="P23" s="149" t="s">
        <v>24</v>
      </c>
      <c r="Q23" s="149" t="s">
        <v>24</v>
      </c>
      <c r="R23" s="149" t="s">
        <v>24</v>
      </c>
      <c r="S23" s="149" t="s">
        <v>24</v>
      </c>
      <c r="T23" s="149" t="s">
        <v>24</v>
      </c>
      <c r="U23" s="149" t="s">
        <v>24</v>
      </c>
      <c r="V23" s="149" t="s">
        <v>24</v>
      </c>
      <c r="W23" s="149" t="s">
        <v>24</v>
      </c>
      <c r="X23" s="149" t="s">
        <v>24</v>
      </c>
      <c r="Y23" s="149" t="s">
        <v>24</v>
      </c>
      <c r="Z23" s="149" t="s">
        <v>24</v>
      </c>
      <c r="AA23" s="144"/>
      <c r="AB23" s="146" t="s">
        <v>5857</v>
      </c>
      <c r="AC23" s="145" t="s">
        <v>155</v>
      </c>
      <c r="AD23" s="145" t="s">
        <v>156</v>
      </c>
      <c r="AE23" s="144" t="s">
        <v>12</v>
      </c>
      <c r="AF23" s="150">
        <v>19800</v>
      </c>
      <c r="AG23" s="150">
        <v>49800</v>
      </c>
      <c r="AH23" s="151" t="s">
        <v>6</v>
      </c>
      <c r="AI23" s="144" t="s">
        <v>105</v>
      </c>
      <c r="AJ23" s="144" t="s">
        <v>4</v>
      </c>
      <c r="AK23" s="144" t="s">
        <v>105</v>
      </c>
      <c r="AL23" s="144" t="s">
        <v>105</v>
      </c>
      <c r="AM23" s="144" t="s">
        <v>106</v>
      </c>
      <c r="AN23" s="144"/>
      <c r="AO23" s="145" t="s">
        <v>157</v>
      </c>
      <c r="AP23" s="144" t="s">
        <v>105</v>
      </c>
      <c r="AQ23" s="144" t="s">
        <v>105</v>
      </c>
      <c r="AR23" s="144" t="s">
        <v>105</v>
      </c>
      <c r="AS23" s="144" t="s">
        <v>105</v>
      </c>
      <c r="AT23" s="148">
        <v>44922</v>
      </c>
      <c r="AU23" s="144" t="s">
        <v>105</v>
      </c>
      <c r="AV23" s="144" t="s">
        <v>105</v>
      </c>
      <c r="AW23" s="144" t="s">
        <v>105</v>
      </c>
      <c r="AX23" s="148">
        <v>44924</v>
      </c>
      <c r="AY23" s="148">
        <v>44924</v>
      </c>
      <c r="AZ23" s="144" t="s">
        <v>220</v>
      </c>
      <c r="BA23" s="144" t="s">
        <v>1</v>
      </c>
      <c r="BB23" s="152" t="s">
        <v>105</v>
      </c>
      <c r="BC23" s="153">
        <f t="shared" si="0"/>
        <v>24</v>
      </c>
      <c r="BD23" s="173"/>
      <c r="DP23" s="140"/>
    </row>
    <row r="24" spans="1:120" s="128" customFormat="1" ht="15" hidden="1" customHeight="1" x14ac:dyDescent="0.25">
      <c r="A24" s="144">
        <v>11</v>
      </c>
      <c r="B24" s="144" t="s">
        <v>99</v>
      </c>
      <c r="C24" s="144">
        <v>1</v>
      </c>
      <c r="D24" s="144">
        <v>0</v>
      </c>
      <c r="E24" s="144">
        <v>0</v>
      </c>
      <c r="F24" s="145" t="s">
        <v>158</v>
      </c>
      <c r="G24" s="144" t="s">
        <v>1</v>
      </c>
      <c r="H24" s="144" t="s">
        <v>2</v>
      </c>
      <c r="I24" s="144" t="s">
        <v>12</v>
      </c>
      <c r="J24" s="145" t="s">
        <v>159</v>
      </c>
      <c r="K24" s="146" t="s">
        <v>160</v>
      </c>
      <c r="L24" s="146" t="s">
        <v>161</v>
      </c>
      <c r="M24" s="147" t="s">
        <v>4</v>
      </c>
      <c r="N24" s="147" t="s">
        <v>5</v>
      </c>
      <c r="O24" s="148">
        <v>44900</v>
      </c>
      <c r="P24" s="149" t="s">
        <v>24</v>
      </c>
      <c r="Q24" s="149" t="s">
        <v>24</v>
      </c>
      <c r="R24" s="149" t="s">
        <v>24</v>
      </c>
      <c r="S24" s="149" t="s">
        <v>24</v>
      </c>
      <c r="T24" s="149" t="s">
        <v>24</v>
      </c>
      <c r="U24" s="149" t="s">
        <v>24</v>
      </c>
      <c r="V24" s="149" t="s">
        <v>24</v>
      </c>
      <c r="W24" s="149" t="s">
        <v>24</v>
      </c>
      <c r="X24" s="149" t="s">
        <v>24</v>
      </c>
      <c r="Y24" s="149" t="s">
        <v>24</v>
      </c>
      <c r="Z24" s="149" t="s">
        <v>24</v>
      </c>
      <c r="AA24" s="144"/>
      <c r="AB24" s="145" t="s">
        <v>5858</v>
      </c>
      <c r="AC24" s="145" t="s">
        <v>160</v>
      </c>
      <c r="AD24" s="145" t="s">
        <v>161</v>
      </c>
      <c r="AE24" s="144" t="s">
        <v>12</v>
      </c>
      <c r="AF24" s="150">
        <v>30400</v>
      </c>
      <c r="AG24" s="150">
        <v>60000</v>
      </c>
      <c r="AH24" s="151" t="s">
        <v>6</v>
      </c>
      <c r="AI24" s="144" t="s">
        <v>105</v>
      </c>
      <c r="AJ24" s="144" t="s">
        <v>4</v>
      </c>
      <c r="AK24" s="144" t="s">
        <v>105</v>
      </c>
      <c r="AL24" s="144" t="s">
        <v>105</v>
      </c>
      <c r="AM24" s="144" t="s">
        <v>106</v>
      </c>
      <c r="AN24" s="144"/>
      <c r="AO24" s="145" t="s">
        <v>162</v>
      </c>
      <c r="AP24" s="144" t="s">
        <v>105</v>
      </c>
      <c r="AQ24" s="144" t="s">
        <v>105</v>
      </c>
      <c r="AR24" s="144" t="s">
        <v>105</v>
      </c>
      <c r="AS24" s="144" t="s">
        <v>105</v>
      </c>
      <c r="AT24" s="148">
        <v>44922</v>
      </c>
      <c r="AU24" s="144" t="s">
        <v>105</v>
      </c>
      <c r="AV24" s="144" t="s">
        <v>105</v>
      </c>
      <c r="AW24" s="144" t="s">
        <v>105</v>
      </c>
      <c r="AX24" s="148">
        <v>44924</v>
      </c>
      <c r="AY24" s="148">
        <v>44924</v>
      </c>
      <c r="AZ24" s="144" t="s">
        <v>220</v>
      </c>
      <c r="BA24" s="144" t="s">
        <v>1</v>
      </c>
      <c r="BB24" s="152" t="s">
        <v>105</v>
      </c>
      <c r="BC24" s="153">
        <f t="shared" si="0"/>
        <v>24</v>
      </c>
      <c r="BD24" s="173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DP24" s="141"/>
    </row>
    <row r="25" spans="1:120" s="107" customFormat="1" ht="15" hidden="1" customHeight="1" x14ac:dyDescent="0.25">
      <c r="A25" s="144">
        <v>12</v>
      </c>
      <c r="B25" s="144" t="s">
        <v>99</v>
      </c>
      <c r="C25" s="144">
        <v>1</v>
      </c>
      <c r="D25" s="144">
        <v>0</v>
      </c>
      <c r="E25" s="144">
        <v>0</v>
      </c>
      <c r="F25" s="145" t="s">
        <v>163</v>
      </c>
      <c r="G25" s="144" t="s">
        <v>1</v>
      </c>
      <c r="H25" s="144" t="s">
        <v>2</v>
      </c>
      <c r="I25" s="144" t="s">
        <v>12</v>
      </c>
      <c r="J25" s="146" t="s">
        <v>164</v>
      </c>
      <c r="K25" s="146" t="s">
        <v>165</v>
      </c>
      <c r="L25" s="146" t="s">
        <v>166</v>
      </c>
      <c r="M25" s="147" t="s">
        <v>4</v>
      </c>
      <c r="N25" s="147" t="s">
        <v>17</v>
      </c>
      <c r="O25" s="148">
        <v>44900</v>
      </c>
      <c r="P25" s="149" t="s">
        <v>139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4"/>
      <c r="AB25" s="146" t="s">
        <v>164</v>
      </c>
      <c r="AC25" s="145" t="s">
        <v>165</v>
      </c>
      <c r="AD25" s="145" t="s">
        <v>166</v>
      </c>
      <c r="AE25" s="144" t="s">
        <v>12</v>
      </c>
      <c r="AF25" s="150">
        <v>13000</v>
      </c>
      <c r="AG25" s="150">
        <v>43000</v>
      </c>
      <c r="AH25" s="151"/>
      <c r="AI25" s="144"/>
      <c r="AJ25" s="144" t="s">
        <v>139</v>
      </c>
      <c r="AK25" s="144"/>
      <c r="AL25" s="144"/>
      <c r="AM25" s="144"/>
      <c r="AN25" s="144"/>
      <c r="AO25" s="145"/>
      <c r="AP25" s="144"/>
      <c r="AQ25" s="144"/>
      <c r="AR25" s="144"/>
      <c r="AS25" s="144"/>
      <c r="AT25" s="144"/>
      <c r="AU25" s="144"/>
      <c r="AV25" s="144"/>
      <c r="AW25" s="144"/>
      <c r="AX25" s="144"/>
      <c r="AY25" s="149"/>
      <c r="AZ25" s="144"/>
      <c r="BA25" s="144"/>
      <c r="BB25" s="152"/>
      <c r="BC25" s="153" t="str">
        <f t="shared" si="0"/>
        <v/>
      </c>
      <c r="BD25" s="173"/>
      <c r="DP25" s="140"/>
    </row>
    <row r="26" spans="1:120" s="107" customFormat="1" ht="15" hidden="1" customHeight="1" x14ac:dyDescent="0.25">
      <c r="A26" s="144">
        <v>13</v>
      </c>
      <c r="B26" s="144" t="s">
        <v>99</v>
      </c>
      <c r="C26" s="144">
        <v>1</v>
      </c>
      <c r="D26" s="144">
        <v>0</v>
      </c>
      <c r="E26" s="144">
        <v>0</v>
      </c>
      <c r="F26" s="145" t="s">
        <v>167</v>
      </c>
      <c r="G26" s="144" t="s">
        <v>1</v>
      </c>
      <c r="H26" s="144" t="s">
        <v>2</v>
      </c>
      <c r="I26" s="144" t="s">
        <v>12</v>
      </c>
      <c r="J26" s="146" t="s">
        <v>168</v>
      </c>
      <c r="K26" s="146" t="s">
        <v>169</v>
      </c>
      <c r="L26" s="146" t="s">
        <v>170</v>
      </c>
      <c r="M26" s="147" t="s">
        <v>4</v>
      </c>
      <c r="N26" s="147" t="s">
        <v>17</v>
      </c>
      <c r="O26" s="148">
        <v>44900</v>
      </c>
      <c r="P26" s="149" t="s">
        <v>139</v>
      </c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4"/>
      <c r="AB26" s="146" t="s">
        <v>168</v>
      </c>
      <c r="AC26" s="145" t="s">
        <v>169</v>
      </c>
      <c r="AD26" s="145" t="s">
        <v>170</v>
      </c>
      <c r="AE26" s="144" t="s">
        <v>12</v>
      </c>
      <c r="AF26" s="150">
        <v>22700</v>
      </c>
      <c r="AG26" s="150">
        <v>52700</v>
      </c>
      <c r="AH26" s="151"/>
      <c r="AI26" s="144"/>
      <c r="AJ26" s="144" t="s">
        <v>139</v>
      </c>
      <c r="AK26" s="144"/>
      <c r="AL26" s="144"/>
      <c r="AM26" s="144"/>
      <c r="AN26" s="144"/>
      <c r="AO26" s="145"/>
      <c r="AP26" s="144"/>
      <c r="AQ26" s="144"/>
      <c r="AR26" s="144"/>
      <c r="AS26" s="144"/>
      <c r="AT26" s="144"/>
      <c r="AU26" s="144"/>
      <c r="AV26" s="144"/>
      <c r="AW26" s="144"/>
      <c r="AX26" s="144"/>
      <c r="AY26" s="149"/>
      <c r="AZ26" s="144"/>
      <c r="BA26" s="144"/>
      <c r="BB26" s="152"/>
      <c r="BC26" s="153" t="str">
        <f t="shared" si="0"/>
        <v/>
      </c>
      <c r="BD26" s="173"/>
      <c r="DP26" s="140"/>
    </row>
    <row r="27" spans="1:120" s="107" customFormat="1" ht="15" customHeight="1" x14ac:dyDescent="0.25">
      <c r="A27" s="144">
        <v>14</v>
      </c>
      <c r="B27" s="144" t="s">
        <v>99</v>
      </c>
      <c r="C27" s="144">
        <v>1</v>
      </c>
      <c r="D27" s="144">
        <v>0</v>
      </c>
      <c r="E27" s="144">
        <v>0</v>
      </c>
      <c r="F27" s="145" t="s">
        <v>171</v>
      </c>
      <c r="G27" s="144" t="s">
        <v>1</v>
      </c>
      <c r="H27" s="144" t="s">
        <v>2</v>
      </c>
      <c r="I27" s="144" t="s">
        <v>12</v>
      </c>
      <c r="J27" s="191" t="s">
        <v>172</v>
      </c>
      <c r="K27" s="146" t="s">
        <v>173</v>
      </c>
      <c r="L27" s="146" t="s">
        <v>174</v>
      </c>
      <c r="M27" s="147" t="s">
        <v>4</v>
      </c>
      <c r="N27" s="147" t="s">
        <v>5</v>
      </c>
      <c r="O27" s="148">
        <v>44900</v>
      </c>
      <c r="P27" s="149" t="s">
        <v>24</v>
      </c>
      <c r="Q27" s="149" t="s">
        <v>24</v>
      </c>
      <c r="R27" s="149" t="s">
        <v>24</v>
      </c>
      <c r="S27" s="149" t="s">
        <v>24</v>
      </c>
      <c r="T27" s="149" t="s">
        <v>24</v>
      </c>
      <c r="U27" s="149" t="s">
        <v>24</v>
      </c>
      <c r="V27" s="149" t="s">
        <v>24</v>
      </c>
      <c r="W27" s="149" t="s">
        <v>24</v>
      </c>
      <c r="X27" s="149" t="s">
        <v>24</v>
      </c>
      <c r="Y27" s="149" t="s">
        <v>24</v>
      </c>
      <c r="Z27" s="149" t="s">
        <v>24</v>
      </c>
      <c r="AA27" s="144"/>
      <c r="AB27" s="145" t="s">
        <v>172</v>
      </c>
      <c r="AC27" s="145" t="s">
        <v>173</v>
      </c>
      <c r="AD27" s="145" t="s">
        <v>174</v>
      </c>
      <c r="AE27" s="144" t="s">
        <v>12</v>
      </c>
      <c r="AF27" s="150">
        <v>21400</v>
      </c>
      <c r="AG27" s="150">
        <v>51400</v>
      </c>
      <c r="AH27" s="151" t="s">
        <v>6</v>
      </c>
      <c r="AI27" s="144" t="s">
        <v>105</v>
      </c>
      <c r="AJ27" s="144" t="s">
        <v>4</v>
      </c>
      <c r="AK27" s="144" t="s">
        <v>105</v>
      </c>
      <c r="AL27" s="144" t="s">
        <v>105</v>
      </c>
      <c r="AM27" s="144" t="s">
        <v>106</v>
      </c>
      <c r="AN27" s="156"/>
      <c r="AO27" s="145" t="s">
        <v>175</v>
      </c>
      <c r="AP27" s="144" t="s">
        <v>105</v>
      </c>
      <c r="AQ27" s="144" t="s">
        <v>105</v>
      </c>
      <c r="AR27" s="144" t="s">
        <v>5851</v>
      </c>
      <c r="AS27" s="144"/>
      <c r="AT27" s="144"/>
      <c r="AU27" s="144"/>
      <c r="AV27" s="144"/>
      <c r="AW27" s="144"/>
      <c r="AX27" s="148"/>
      <c r="AY27" s="149"/>
      <c r="AZ27" s="144"/>
      <c r="BA27" s="144"/>
      <c r="BB27" s="152" t="s">
        <v>5855</v>
      </c>
      <c r="BC27" s="153" t="str">
        <f t="shared" si="0"/>
        <v/>
      </c>
      <c r="BD27" s="173"/>
      <c r="DP27" s="140"/>
    </row>
    <row r="28" spans="1:120" s="128" customFormat="1" ht="15" hidden="1" customHeight="1" x14ac:dyDescent="0.25">
      <c r="A28" s="144">
        <v>15</v>
      </c>
      <c r="B28" s="144" t="s">
        <v>99</v>
      </c>
      <c r="C28" s="144">
        <v>1</v>
      </c>
      <c r="D28" s="144">
        <v>0</v>
      </c>
      <c r="E28" s="144">
        <v>0</v>
      </c>
      <c r="F28" s="145" t="s">
        <v>176</v>
      </c>
      <c r="G28" s="144" t="s">
        <v>1</v>
      </c>
      <c r="H28" s="144" t="s">
        <v>2</v>
      </c>
      <c r="I28" s="144" t="s">
        <v>121</v>
      </c>
      <c r="J28" s="146" t="s">
        <v>177</v>
      </c>
      <c r="K28" s="146" t="s">
        <v>178</v>
      </c>
      <c r="L28" s="146" t="s">
        <v>179</v>
      </c>
      <c r="M28" s="147" t="s">
        <v>4</v>
      </c>
      <c r="N28" s="147" t="s">
        <v>14</v>
      </c>
      <c r="O28" s="148">
        <v>44900</v>
      </c>
      <c r="P28" s="149" t="s">
        <v>17</v>
      </c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4"/>
      <c r="AB28" s="166" t="s">
        <v>172</v>
      </c>
      <c r="AC28" s="145" t="s">
        <v>173</v>
      </c>
      <c r="AD28" s="145" t="s">
        <v>174</v>
      </c>
      <c r="AE28" s="144" t="s">
        <v>3</v>
      </c>
      <c r="AF28" s="150">
        <v>18700</v>
      </c>
      <c r="AG28" s="150">
        <v>48700</v>
      </c>
      <c r="AH28" s="151"/>
      <c r="AI28" s="144"/>
      <c r="AJ28" s="144" t="s">
        <v>139</v>
      </c>
      <c r="AK28" s="144"/>
      <c r="AL28" s="144"/>
      <c r="AM28" s="144"/>
      <c r="AN28" s="144"/>
      <c r="AO28" s="145"/>
      <c r="AP28" s="144"/>
      <c r="AQ28" s="144"/>
      <c r="AR28" s="144"/>
      <c r="AS28" s="144"/>
      <c r="AT28" s="144"/>
      <c r="AU28" s="144"/>
      <c r="AV28" s="144"/>
      <c r="AW28" s="144"/>
      <c r="AX28" s="144"/>
      <c r="AY28" s="149"/>
      <c r="AZ28" s="144"/>
      <c r="BA28" s="144"/>
      <c r="BB28" s="152"/>
      <c r="BC28" s="153" t="str">
        <f t="shared" si="0"/>
        <v/>
      </c>
      <c r="BD28" s="173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DP28" s="141"/>
    </row>
    <row r="29" spans="1:120" s="107" customFormat="1" ht="15" hidden="1" customHeight="1" x14ac:dyDescent="0.25">
      <c r="A29" s="144">
        <v>16</v>
      </c>
      <c r="B29" s="144" t="s">
        <v>99</v>
      </c>
      <c r="C29" s="144">
        <v>1</v>
      </c>
      <c r="D29" s="144">
        <v>0</v>
      </c>
      <c r="E29" s="144">
        <v>0</v>
      </c>
      <c r="F29" s="145" t="s">
        <v>181</v>
      </c>
      <c r="G29" s="144" t="s">
        <v>1</v>
      </c>
      <c r="H29" s="144" t="s">
        <v>2</v>
      </c>
      <c r="I29" s="144" t="s">
        <v>121</v>
      </c>
      <c r="J29" s="145" t="s">
        <v>182</v>
      </c>
      <c r="K29" s="146" t="s">
        <v>183</v>
      </c>
      <c r="L29" s="146" t="s">
        <v>184</v>
      </c>
      <c r="M29" s="147" t="s">
        <v>4</v>
      </c>
      <c r="N29" s="147" t="s">
        <v>14</v>
      </c>
      <c r="O29" s="148">
        <v>44900</v>
      </c>
      <c r="P29" s="149" t="s">
        <v>17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4"/>
      <c r="AB29" s="145" t="s">
        <v>185</v>
      </c>
      <c r="AC29" s="145" t="s">
        <v>186</v>
      </c>
      <c r="AD29" s="145" t="s">
        <v>187</v>
      </c>
      <c r="AE29" s="144" t="s">
        <v>3</v>
      </c>
      <c r="AF29" s="168">
        <v>0</v>
      </c>
      <c r="AG29" s="168">
        <v>60000</v>
      </c>
      <c r="AH29" s="151" t="s">
        <v>6</v>
      </c>
      <c r="AI29" s="144" t="s">
        <v>105</v>
      </c>
      <c r="AJ29" s="144" t="s">
        <v>4</v>
      </c>
      <c r="AK29" s="144" t="s">
        <v>5859</v>
      </c>
      <c r="AL29" s="144" t="s">
        <v>17</v>
      </c>
      <c r="AM29" s="144" t="s">
        <v>5860</v>
      </c>
      <c r="AN29" s="157" t="s">
        <v>188</v>
      </c>
      <c r="AO29" s="145" t="s">
        <v>189</v>
      </c>
      <c r="AP29" s="144"/>
      <c r="AQ29" s="144"/>
      <c r="AR29" s="144"/>
      <c r="AS29" s="144"/>
      <c r="AT29" s="144"/>
      <c r="AU29" s="144"/>
      <c r="AV29" s="144"/>
      <c r="AW29" s="144"/>
      <c r="AX29" s="148"/>
      <c r="AY29" s="149"/>
      <c r="AZ29" s="144"/>
      <c r="BA29" s="144"/>
      <c r="BB29" s="152" t="s">
        <v>5850</v>
      </c>
      <c r="BC29" s="153" t="str">
        <f t="shared" si="0"/>
        <v/>
      </c>
      <c r="BD29" s="173"/>
      <c r="DP29" s="140"/>
    </row>
    <row r="30" spans="1:120" s="107" customFormat="1" ht="15" hidden="1" customHeight="1" x14ac:dyDescent="0.25">
      <c r="A30" s="144">
        <v>17</v>
      </c>
      <c r="B30" s="144" t="s">
        <v>99</v>
      </c>
      <c r="C30" s="144">
        <v>1</v>
      </c>
      <c r="D30" s="144">
        <v>0</v>
      </c>
      <c r="E30" s="144">
        <v>0</v>
      </c>
      <c r="F30" s="145" t="s">
        <v>190</v>
      </c>
      <c r="G30" s="144" t="s">
        <v>1</v>
      </c>
      <c r="H30" s="144" t="s">
        <v>2</v>
      </c>
      <c r="I30" s="144" t="s">
        <v>12</v>
      </c>
      <c r="J30" s="146" t="s">
        <v>191</v>
      </c>
      <c r="K30" s="146" t="s">
        <v>192</v>
      </c>
      <c r="L30" s="146" t="s">
        <v>193</v>
      </c>
      <c r="M30" s="147" t="s">
        <v>4</v>
      </c>
      <c r="N30" s="147" t="s">
        <v>17</v>
      </c>
      <c r="O30" s="148">
        <v>44900</v>
      </c>
      <c r="P30" s="149" t="s">
        <v>139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4"/>
      <c r="AB30" s="146" t="s">
        <v>191</v>
      </c>
      <c r="AC30" s="145" t="s">
        <v>192</v>
      </c>
      <c r="AD30" s="145" t="s">
        <v>193</v>
      </c>
      <c r="AE30" s="144" t="s">
        <v>12</v>
      </c>
      <c r="AF30" s="150">
        <v>20500</v>
      </c>
      <c r="AG30" s="150">
        <v>50500</v>
      </c>
      <c r="AH30" s="151"/>
      <c r="AI30" s="144"/>
      <c r="AJ30" s="144" t="s">
        <v>139</v>
      </c>
      <c r="AK30" s="144"/>
      <c r="AL30" s="144"/>
      <c r="AM30" s="144"/>
      <c r="AN30" s="144"/>
      <c r="AO30" s="145"/>
      <c r="AP30" s="144"/>
      <c r="AQ30" s="144"/>
      <c r="AR30" s="144"/>
      <c r="AS30" s="144"/>
      <c r="AT30" s="144"/>
      <c r="AU30" s="144"/>
      <c r="AV30" s="144"/>
      <c r="AW30" s="144"/>
      <c r="AX30" s="144"/>
      <c r="AY30" s="149"/>
      <c r="AZ30" s="144"/>
      <c r="BA30" s="144"/>
      <c r="BB30" s="152"/>
      <c r="BC30" s="153" t="str">
        <f t="shared" si="0"/>
        <v/>
      </c>
      <c r="BD30" s="173"/>
      <c r="DP30" s="140"/>
    </row>
    <row r="31" spans="1:120" s="107" customFormat="1" ht="15" customHeight="1" x14ac:dyDescent="0.25">
      <c r="A31" s="144">
        <v>18</v>
      </c>
      <c r="B31" s="144" t="s">
        <v>99</v>
      </c>
      <c r="C31" s="144">
        <v>1</v>
      </c>
      <c r="D31" s="144">
        <v>0</v>
      </c>
      <c r="E31" s="144">
        <v>0</v>
      </c>
      <c r="F31" s="145" t="s">
        <v>194</v>
      </c>
      <c r="G31" s="144" t="s">
        <v>1</v>
      </c>
      <c r="H31" s="144" t="s">
        <v>2</v>
      </c>
      <c r="I31" s="144" t="s">
        <v>12</v>
      </c>
      <c r="J31" s="145" t="s">
        <v>195</v>
      </c>
      <c r="K31" s="146" t="s">
        <v>196</v>
      </c>
      <c r="L31" s="146" t="s">
        <v>197</v>
      </c>
      <c r="M31" s="147" t="s">
        <v>4</v>
      </c>
      <c r="N31" s="147" t="s">
        <v>5</v>
      </c>
      <c r="O31" s="148">
        <v>44900</v>
      </c>
      <c r="P31" s="149" t="s">
        <v>24</v>
      </c>
      <c r="Q31" s="149" t="s">
        <v>24</v>
      </c>
      <c r="R31" s="149" t="s">
        <v>24</v>
      </c>
      <c r="S31" s="149" t="s">
        <v>24</v>
      </c>
      <c r="T31" s="149" t="s">
        <v>24</v>
      </c>
      <c r="U31" s="149" t="s">
        <v>24</v>
      </c>
      <c r="V31" s="149" t="s">
        <v>24</v>
      </c>
      <c r="W31" s="149" t="s">
        <v>24</v>
      </c>
      <c r="X31" s="149" t="s">
        <v>24</v>
      </c>
      <c r="Y31" s="149" t="s">
        <v>24</v>
      </c>
      <c r="Z31" s="149" t="s">
        <v>24</v>
      </c>
      <c r="AA31" s="144"/>
      <c r="AB31" s="145" t="s">
        <v>195</v>
      </c>
      <c r="AC31" s="145" t="s">
        <v>196</v>
      </c>
      <c r="AD31" s="145" t="s">
        <v>197</v>
      </c>
      <c r="AE31" s="144" t="s">
        <v>12</v>
      </c>
      <c r="AF31" s="150">
        <v>20700</v>
      </c>
      <c r="AG31" s="150">
        <v>50700</v>
      </c>
      <c r="AH31" s="151" t="s">
        <v>6</v>
      </c>
      <c r="AI31" s="144" t="s">
        <v>105</v>
      </c>
      <c r="AJ31" s="144" t="s">
        <v>4</v>
      </c>
      <c r="AK31" s="144" t="s">
        <v>105</v>
      </c>
      <c r="AL31" s="144" t="s">
        <v>105</v>
      </c>
      <c r="AM31" s="144" t="s">
        <v>106</v>
      </c>
      <c r="AN31" s="144"/>
      <c r="AO31" s="145" t="s">
        <v>198</v>
      </c>
      <c r="AP31" s="144" t="s">
        <v>105</v>
      </c>
      <c r="AQ31" s="144" t="s">
        <v>105</v>
      </c>
      <c r="AR31" s="144" t="s">
        <v>5851</v>
      </c>
      <c r="AS31" s="144"/>
      <c r="AT31" s="144"/>
      <c r="AU31" s="144"/>
      <c r="AV31" s="144"/>
      <c r="AW31" s="144"/>
      <c r="AX31" s="148"/>
      <c r="AY31" s="149"/>
      <c r="AZ31" s="144"/>
      <c r="BA31" s="144"/>
      <c r="BB31" s="152" t="s">
        <v>5855</v>
      </c>
      <c r="BC31" s="153" t="str">
        <f t="shared" si="0"/>
        <v/>
      </c>
      <c r="BD31" s="173"/>
      <c r="DP31" s="140"/>
    </row>
    <row r="32" spans="1:120" s="107" customFormat="1" ht="15" customHeight="1" x14ac:dyDescent="0.25">
      <c r="A32" s="144">
        <v>19</v>
      </c>
      <c r="B32" s="144" t="s">
        <v>99</v>
      </c>
      <c r="C32" s="144">
        <v>1</v>
      </c>
      <c r="D32" s="144">
        <v>0</v>
      </c>
      <c r="E32" s="144">
        <v>0</v>
      </c>
      <c r="F32" s="145" t="s">
        <v>199</v>
      </c>
      <c r="G32" s="144" t="s">
        <v>1</v>
      </c>
      <c r="H32" s="144" t="s">
        <v>2</v>
      </c>
      <c r="I32" s="144" t="s">
        <v>12</v>
      </c>
      <c r="J32" s="191" t="s">
        <v>200</v>
      </c>
      <c r="K32" s="158" t="s">
        <v>201</v>
      </c>
      <c r="L32" s="158" t="s">
        <v>202</v>
      </c>
      <c r="M32" s="147" t="s">
        <v>4</v>
      </c>
      <c r="N32" s="147" t="s">
        <v>5</v>
      </c>
      <c r="O32" s="148">
        <v>44900</v>
      </c>
      <c r="P32" s="149" t="s">
        <v>24</v>
      </c>
      <c r="Q32" s="149" t="s">
        <v>24</v>
      </c>
      <c r="R32" s="149" t="s">
        <v>24</v>
      </c>
      <c r="S32" s="149" t="s">
        <v>24</v>
      </c>
      <c r="T32" s="149" t="s">
        <v>24</v>
      </c>
      <c r="U32" s="149" t="s">
        <v>24</v>
      </c>
      <c r="V32" s="149" t="s">
        <v>24</v>
      </c>
      <c r="W32" s="149" t="s">
        <v>24</v>
      </c>
      <c r="X32" s="149" t="s">
        <v>24</v>
      </c>
      <c r="Y32" s="149" t="s">
        <v>24</v>
      </c>
      <c r="Z32" s="149" t="s">
        <v>24</v>
      </c>
      <c r="AA32" s="144"/>
      <c r="AB32" s="191" t="s">
        <v>200</v>
      </c>
      <c r="AC32" s="158" t="s">
        <v>201</v>
      </c>
      <c r="AD32" s="158" t="s">
        <v>202</v>
      </c>
      <c r="AE32" s="144" t="s">
        <v>12</v>
      </c>
      <c r="AF32" s="150">
        <v>19800</v>
      </c>
      <c r="AG32" s="150">
        <v>49800</v>
      </c>
      <c r="AH32" s="151" t="s">
        <v>6</v>
      </c>
      <c r="AI32" s="144" t="s">
        <v>105</v>
      </c>
      <c r="AJ32" s="144" t="s">
        <v>4</v>
      </c>
      <c r="AK32" s="144" t="s">
        <v>105</v>
      </c>
      <c r="AL32" s="144" t="s">
        <v>105</v>
      </c>
      <c r="AM32" s="144" t="s">
        <v>106</v>
      </c>
      <c r="AN32" s="156"/>
      <c r="AO32" s="145" t="s">
        <v>203</v>
      </c>
      <c r="AP32" s="144" t="s">
        <v>105</v>
      </c>
      <c r="AQ32" s="144" t="s">
        <v>105</v>
      </c>
      <c r="AR32" s="144" t="s">
        <v>5851</v>
      </c>
      <c r="AS32" s="144"/>
      <c r="AT32" s="144"/>
      <c r="AU32" s="144"/>
      <c r="AV32" s="144"/>
      <c r="AW32" s="144"/>
      <c r="AX32" s="148"/>
      <c r="AY32" s="149"/>
      <c r="AZ32" s="144"/>
      <c r="BA32" s="144"/>
      <c r="BB32" s="152" t="s">
        <v>5855</v>
      </c>
      <c r="BC32" s="153" t="str">
        <f t="shared" si="0"/>
        <v/>
      </c>
      <c r="BD32" s="173"/>
      <c r="DP32" s="140"/>
    </row>
    <row r="33" spans="1:120" s="107" customFormat="1" ht="15" customHeight="1" x14ac:dyDescent="0.25">
      <c r="A33" s="144">
        <v>20</v>
      </c>
      <c r="B33" s="144" t="s">
        <v>99</v>
      </c>
      <c r="C33" s="144">
        <v>1</v>
      </c>
      <c r="D33" s="144">
        <v>0</v>
      </c>
      <c r="E33" s="144">
        <v>0</v>
      </c>
      <c r="F33" s="163" t="s">
        <v>204</v>
      </c>
      <c r="G33" s="144" t="s">
        <v>1</v>
      </c>
      <c r="H33" s="144" t="s">
        <v>2</v>
      </c>
      <c r="I33" s="144" t="s">
        <v>12</v>
      </c>
      <c r="J33" s="146" t="s">
        <v>205</v>
      </c>
      <c r="K33" s="145" t="s">
        <v>206</v>
      </c>
      <c r="L33" s="145" t="s">
        <v>208</v>
      </c>
      <c r="M33" s="147" t="s">
        <v>4</v>
      </c>
      <c r="N33" s="147" t="s">
        <v>5</v>
      </c>
      <c r="O33" s="148">
        <v>44900</v>
      </c>
      <c r="P33" s="149" t="s">
        <v>24</v>
      </c>
      <c r="Q33" s="149" t="s">
        <v>24</v>
      </c>
      <c r="R33" s="149" t="s">
        <v>24</v>
      </c>
      <c r="S33" s="149" t="s">
        <v>24</v>
      </c>
      <c r="T33" s="149" t="s">
        <v>24</v>
      </c>
      <c r="U33" s="149" t="s">
        <v>24</v>
      </c>
      <c r="V33" s="149" t="s">
        <v>24</v>
      </c>
      <c r="W33" s="149" t="s">
        <v>24</v>
      </c>
      <c r="X33" s="149" t="s">
        <v>24</v>
      </c>
      <c r="Y33" s="149" t="s">
        <v>24</v>
      </c>
      <c r="Z33" s="149" t="s">
        <v>24</v>
      </c>
      <c r="AA33" s="144"/>
      <c r="AB33" s="146" t="s">
        <v>205</v>
      </c>
      <c r="AC33" s="145" t="s">
        <v>206</v>
      </c>
      <c r="AD33" s="145" t="s">
        <v>208</v>
      </c>
      <c r="AE33" s="144" t="s">
        <v>12</v>
      </c>
      <c r="AF33" s="150">
        <v>92800</v>
      </c>
      <c r="AG33" s="150">
        <v>92800</v>
      </c>
      <c r="AH33" s="151" t="s">
        <v>6</v>
      </c>
      <c r="AI33" s="144" t="s">
        <v>105</v>
      </c>
      <c r="AJ33" s="144" t="s">
        <v>4</v>
      </c>
      <c r="AK33" s="144" t="s">
        <v>105</v>
      </c>
      <c r="AL33" s="144" t="s">
        <v>105</v>
      </c>
      <c r="AM33" s="144" t="s">
        <v>106</v>
      </c>
      <c r="AN33" s="159"/>
      <c r="AO33" s="145" t="s">
        <v>209</v>
      </c>
      <c r="AP33" s="144" t="s">
        <v>105</v>
      </c>
      <c r="AQ33" s="144" t="s">
        <v>105</v>
      </c>
      <c r="AR33" s="144" t="s">
        <v>5851</v>
      </c>
      <c r="AS33" s="144"/>
      <c r="AT33" s="144"/>
      <c r="AU33" s="144"/>
      <c r="AV33" s="144"/>
      <c r="AW33" s="144"/>
      <c r="AX33" s="148"/>
      <c r="AY33" s="149"/>
      <c r="AZ33" s="144"/>
      <c r="BA33" s="144"/>
      <c r="BB33" s="152" t="s">
        <v>5855</v>
      </c>
      <c r="BC33" s="153" t="str">
        <f t="shared" si="0"/>
        <v/>
      </c>
      <c r="BD33" s="173"/>
      <c r="DP33" s="140"/>
    </row>
    <row r="34" spans="1:120" s="107" customFormat="1" ht="15" customHeight="1" x14ac:dyDescent="0.25">
      <c r="A34" s="144">
        <v>21</v>
      </c>
      <c r="B34" s="144" t="s">
        <v>99</v>
      </c>
      <c r="C34" s="144">
        <v>1</v>
      </c>
      <c r="D34" s="144">
        <v>0</v>
      </c>
      <c r="E34" s="144">
        <v>0</v>
      </c>
      <c r="F34" s="163" t="s">
        <v>210</v>
      </c>
      <c r="G34" s="144" t="s">
        <v>1</v>
      </c>
      <c r="H34" s="144" t="s">
        <v>2</v>
      </c>
      <c r="I34" s="144" t="s">
        <v>12</v>
      </c>
      <c r="J34" s="146" t="s">
        <v>211</v>
      </c>
      <c r="K34" s="146" t="s">
        <v>212</v>
      </c>
      <c r="L34" s="146" t="s">
        <v>213</v>
      </c>
      <c r="M34" s="147" t="s">
        <v>4</v>
      </c>
      <c r="N34" s="147" t="s">
        <v>5</v>
      </c>
      <c r="O34" s="148">
        <v>44900</v>
      </c>
      <c r="P34" s="149" t="s">
        <v>24</v>
      </c>
      <c r="Q34" s="149" t="s">
        <v>24</v>
      </c>
      <c r="R34" s="149" t="s">
        <v>24</v>
      </c>
      <c r="S34" s="149" t="s">
        <v>24</v>
      </c>
      <c r="T34" s="149" t="s">
        <v>24</v>
      </c>
      <c r="U34" s="149" t="s">
        <v>24</v>
      </c>
      <c r="V34" s="149" t="s">
        <v>24</v>
      </c>
      <c r="W34" s="149" t="s">
        <v>24</v>
      </c>
      <c r="X34" s="149" t="s">
        <v>24</v>
      </c>
      <c r="Y34" s="149" t="s">
        <v>24</v>
      </c>
      <c r="Z34" s="149" t="s">
        <v>24</v>
      </c>
      <c r="AA34" s="144"/>
      <c r="AB34" s="146" t="s">
        <v>211</v>
      </c>
      <c r="AC34" s="146" t="s">
        <v>212</v>
      </c>
      <c r="AD34" s="146" t="s">
        <v>213</v>
      </c>
      <c r="AE34" s="144" t="s">
        <v>12</v>
      </c>
      <c r="AF34" s="150">
        <v>49800</v>
      </c>
      <c r="AG34" s="150">
        <v>60000</v>
      </c>
      <c r="AH34" s="151" t="s">
        <v>6</v>
      </c>
      <c r="AI34" s="144" t="s">
        <v>105</v>
      </c>
      <c r="AJ34" s="144" t="s">
        <v>4</v>
      </c>
      <c r="AK34" s="144" t="s">
        <v>105</v>
      </c>
      <c r="AL34" s="144" t="s">
        <v>105</v>
      </c>
      <c r="AM34" s="144" t="s">
        <v>106</v>
      </c>
      <c r="AN34" s="156"/>
      <c r="AO34" s="145" t="s">
        <v>214</v>
      </c>
      <c r="AP34" s="144" t="s">
        <v>105</v>
      </c>
      <c r="AQ34" s="144" t="s">
        <v>105</v>
      </c>
      <c r="AR34" s="144" t="s">
        <v>5851</v>
      </c>
      <c r="AS34" s="144"/>
      <c r="AT34" s="144"/>
      <c r="AU34" s="144"/>
      <c r="AV34" s="144"/>
      <c r="AW34" s="144"/>
      <c r="AX34" s="148"/>
      <c r="AY34" s="149"/>
      <c r="AZ34" s="144"/>
      <c r="BA34" s="144"/>
      <c r="BB34" s="152" t="s">
        <v>5855</v>
      </c>
      <c r="BC34" s="153" t="str">
        <f t="shared" si="0"/>
        <v/>
      </c>
      <c r="BD34" s="173"/>
      <c r="DP34" s="140"/>
    </row>
    <row r="35" spans="1:120" s="107" customFormat="1" ht="15" hidden="1" customHeight="1" x14ac:dyDescent="0.25">
      <c r="A35" s="144">
        <v>22</v>
      </c>
      <c r="B35" s="144" t="s">
        <v>99</v>
      </c>
      <c r="C35" s="144">
        <v>1</v>
      </c>
      <c r="D35" s="144">
        <v>0</v>
      </c>
      <c r="E35" s="144">
        <v>0</v>
      </c>
      <c r="F35" s="145" t="s">
        <v>215</v>
      </c>
      <c r="G35" s="144" t="s">
        <v>1</v>
      </c>
      <c r="H35" s="144" t="s">
        <v>2</v>
      </c>
      <c r="I35" s="144" t="s">
        <v>12</v>
      </c>
      <c r="J35" s="146" t="s">
        <v>216</v>
      </c>
      <c r="K35" s="162" t="s">
        <v>217</v>
      </c>
      <c r="L35" s="162" t="s">
        <v>218</v>
      </c>
      <c r="M35" s="147" t="s">
        <v>17</v>
      </c>
      <c r="N35" s="147" t="s">
        <v>17</v>
      </c>
      <c r="O35" s="148">
        <v>44900</v>
      </c>
      <c r="P35" s="149" t="s">
        <v>139</v>
      </c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4"/>
      <c r="AB35" s="162" t="s">
        <v>216</v>
      </c>
      <c r="AC35" s="163" t="s">
        <v>217</v>
      </c>
      <c r="AD35" s="163" t="s">
        <v>218</v>
      </c>
      <c r="AE35" s="144" t="s">
        <v>12</v>
      </c>
      <c r="AF35" s="150">
        <v>58100</v>
      </c>
      <c r="AG35" s="150">
        <v>60000</v>
      </c>
      <c r="AH35" s="151"/>
      <c r="AI35" s="144"/>
      <c r="AJ35" s="144" t="s">
        <v>139</v>
      </c>
      <c r="AK35" s="144"/>
      <c r="AL35" s="144"/>
      <c r="AM35" s="144"/>
      <c r="AN35" s="144"/>
      <c r="AO35" s="145"/>
      <c r="AP35" s="144"/>
      <c r="AQ35" s="144"/>
      <c r="AR35" s="144"/>
      <c r="AS35" s="144"/>
      <c r="AT35" s="144"/>
      <c r="AU35" s="144"/>
      <c r="AV35" s="144"/>
      <c r="AW35" s="144"/>
      <c r="AX35" s="144"/>
      <c r="AY35" s="149"/>
      <c r="AZ35" s="144"/>
      <c r="BA35" s="144"/>
      <c r="BB35" s="152"/>
      <c r="BC35" s="153" t="str">
        <f t="shared" si="0"/>
        <v/>
      </c>
      <c r="BD35" s="173"/>
      <c r="DP35" s="140"/>
    </row>
    <row r="36" spans="1:120" s="107" customFormat="1" ht="15" hidden="1" customHeight="1" x14ac:dyDescent="0.25">
      <c r="A36" s="144">
        <v>23</v>
      </c>
      <c r="B36" s="144" t="s">
        <v>99</v>
      </c>
      <c r="C36" s="144">
        <v>1</v>
      </c>
      <c r="D36" s="144">
        <v>0</v>
      </c>
      <c r="E36" s="144">
        <v>0</v>
      </c>
      <c r="F36" s="145" t="s">
        <v>221</v>
      </c>
      <c r="G36" s="144" t="s">
        <v>1</v>
      </c>
      <c r="H36" s="144" t="s">
        <v>2</v>
      </c>
      <c r="I36" s="144" t="s">
        <v>121</v>
      </c>
      <c r="J36" s="146" t="s">
        <v>222</v>
      </c>
      <c r="K36" s="146" t="s">
        <v>223</v>
      </c>
      <c r="L36" s="146" t="s">
        <v>224</v>
      </c>
      <c r="M36" s="147" t="s">
        <v>4</v>
      </c>
      <c r="N36" s="147" t="s">
        <v>14</v>
      </c>
      <c r="O36" s="148">
        <v>44900</v>
      </c>
      <c r="P36" s="149" t="s">
        <v>17</v>
      </c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4"/>
      <c r="AB36" s="162" t="s">
        <v>216</v>
      </c>
      <c r="AC36" s="163" t="s">
        <v>217</v>
      </c>
      <c r="AD36" s="163" t="s">
        <v>218</v>
      </c>
      <c r="AE36" s="144" t="s">
        <v>3</v>
      </c>
      <c r="AF36" s="150">
        <v>110600</v>
      </c>
      <c r="AG36" s="150">
        <v>110600</v>
      </c>
      <c r="AH36" s="151"/>
      <c r="AI36" s="144"/>
      <c r="AJ36" s="144" t="s">
        <v>139</v>
      </c>
      <c r="AK36" s="144"/>
      <c r="AL36" s="144"/>
      <c r="AM36" s="144"/>
      <c r="AN36" s="144"/>
      <c r="AO36" s="145"/>
      <c r="AP36" s="144"/>
      <c r="AQ36" s="144"/>
      <c r="AR36" s="144"/>
      <c r="AS36" s="144"/>
      <c r="AT36" s="144"/>
      <c r="AU36" s="144"/>
      <c r="AV36" s="144"/>
      <c r="AW36" s="144"/>
      <c r="AX36" s="144"/>
      <c r="AY36" s="149"/>
      <c r="AZ36" s="144"/>
      <c r="BA36" s="144"/>
      <c r="BB36" s="152"/>
      <c r="BC36" s="153" t="str">
        <f t="shared" si="0"/>
        <v/>
      </c>
      <c r="BD36" s="173"/>
      <c r="DP36" s="140"/>
    </row>
    <row r="37" spans="1:120" s="107" customFormat="1" ht="15" hidden="1" customHeight="1" x14ac:dyDescent="0.25">
      <c r="A37" s="144">
        <v>24</v>
      </c>
      <c r="B37" s="144" t="s">
        <v>99</v>
      </c>
      <c r="C37" s="144">
        <v>1</v>
      </c>
      <c r="D37" s="144">
        <v>0</v>
      </c>
      <c r="E37" s="144">
        <v>0</v>
      </c>
      <c r="F37" s="145" t="s">
        <v>226</v>
      </c>
      <c r="G37" s="144" t="s">
        <v>1</v>
      </c>
      <c r="H37" s="144" t="s">
        <v>2</v>
      </c>
      <c r="I37" s="144" t="s">
        <v>121</v>
      </c>
      <c r="J37" s="146" t="s">
        <v>227</v>
      </c>
      <c r="K37" s="146" t="s">
        <v>228</v>
      </c>
      <c r="L37" s="146" t="s">
        <v>229</v>
      </c>
      <c r="M37" s="147" t="s">
        <v>4</v>
      </c>
      <c r="N37" s="147" t="s">
        <v>14</v>
      </c>
      <c r="O37" s="148">
        <v>44900</v>
      </c>
      <c r="P37" s="149" t="s">
        <v>17</v>
      </c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4"/>
      <c r="AB37" s="162" t="s">
        <v>230</v>
      </c>
      <c r="AC37" s="145" t="s">
        <v>231</v>
      </c>
      <c r="AD37" s="145" t="s">
        <v>232</v>
      </c>
      <c r="AE37" s="144" t="s">
        <v>3</v>
      </c>
      <c r="AF37" s="150">
        <v>49000</v>
      </c>
      <c r="AG37" s="150">
        <v>60000</v>
      </c>
      <c r="AH37" s="151"/>
      <c r="AI37" s="144"/>
      <c r="AJ37" s="144" t="s">
        <v>139</v>
      </c>
      <c r="AK37" s="144"/>
      <c r="AL37" s="144"/>
      <c r="AM37" s="144"/>
      <c r="AN37" s="144"/>
      <c r="AO37" s="145"/>
      <c r="AP37" s="144"/>
      <c r="AQ37" s="144"/>
      <c r="AR37" s="144"/>
      <c r="AS37" s="144"/>
      <c r="AT37" s="144"/>
      <c r="AU37" s="144"/>
      <c r="AV37" s="144"/>
      <c r="AW37" s="144"/>
      <c r="AX37" s="144"/>
      <c r="AY37" s="149"/>
      <c r="AZ37" s="144"/>
      <c r="BA37" s="144"/>
      <c r="BB37" s="152"/>
      <c r="BC37" s="153" t="str">
        <f t="shared" si="0"/>
        <v/>
      </c>
      <c r="BD37" s="173"/>
      <c r="DP37" s="140"/>
    </row>
    <row r="38" spans="1:120" s="110" customFormat="1" ht="15" hidden="1" customHeight="1" x14ac:dyDescent="0.25">
      <c r="A38" s="144">
        <v>25</v>
      </c>
      <c r="B38" s="144" t="s">
        <v>99</v>
      </c>
      <c r="C38" s="144">
        <v>1</v>
      </c>
      <c r="D38" s="144">
        <v>0</v>
      </c>
      <c r="E38" s="144">
        <v>0</v>
      </c>
      <c r="F38" s="145" t="s">
        <v>234</v>
      </c>
      <c r="G38" s="144" t="s">
        <v>1</v>
      </c>
      <c r="H38" s="144" t="s">
        <v>2</v>
      </c>
      <c r="I38" s="144" t="s">
        <v>121</v>
      </c>
      <c r="J38" s="146" t="s">
        <v>235</v>
      </c>
      <c r="K38" s="146" t="s">
        <v>236</v>
      </c>
      <c r="L38" s="146" t="s">
        <v>237</v>
      </c>
      <c r="M38" s="147" t="s">
        <v>4</v>
      </c>
      <c r="N38" s="147" t="s">
        <v>14</v>
      </c>
      <c r="O38" s="148">
        <v>44900</v>
      </c>
      <c r="P38" s="149" t="s">
        <v>17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4"/>
      <c r="AB38" s="162" t="s">
        <v>240</v>
      </c>
      <c r="AC38" s="145" t="s">
        <v>241</v>
      </c>
      <c r="AD38" s="145" t="s">
        <v>242</v>
      </c>
      <c r="AE38" s="144" t="s">
        <v>3</v>
      </c>
      <c r="AF38" s="150">
        <v>46500</v>
      </c>
      <c r="AG38" s="150">
        <v>60000</v>
      </c>
      <c r="AH38" s="151" t="s">
        <v>6</v>
      </c>
      <c r="AI38" s="144" t="s">
        <v>105</v>
      </c>
      <c r="AJ38" s="144" t="s">
        <v>4</v>
      </c>
      <c r="AK38" s="144" t="s">
        <v>5861</v>
      </c>
      <c r="AL38" s="144" t="s">
        <v>105</v>
      </c>
      <c r="AM38" s="144" t="s">
        <v>5862</v>
      </c>
      <c r="AN38" s="160" t="s">
        <v>5863</v>
      </c>
      <c r="AO38" s="145" t="s">
        <v>243</v>
      </c>
      <c r="AP38" s="144"/>
      <c r="AQ38" s="144"/>
      <c r="AR38" s="144"/>
      <c r="AS38" s="144"/>
      <c r="AT38" s="144"/>
      <c r="AU38" s="144"/>
      <c r="AV38" s="144"/>
      <c r="AW38" s="144"/>
      <c r="AX38" s="148"/>
      <c r="AY38" s="149"/>
      <c r="AZ38" s="144"/>
      <c r="BA38" s="144"/>
      <c r="BB38" s="152" t="s">
        <v>5850</v>
      </c>
      <c r="BC38" s="153" t="str">
        <f t="shared" si="0"/>
        <v/>
      </c>
      <c r="BD38" s="173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DP38" s="142"/>
    </row>
    <row r="39" spans="1:120" s="107" customFormat="1" ht="15" customHeight="1" x14ac:dyDescent="0.25">
      <c r="A39" s="144">
        <v>26</v>
      </c>
      <c r="B39" s="144" t="s">
        <v>99</v>
      </c>
      <c r="C39" s="144">
        <v>1</v>
      </c>
      <c r="D39" s="144">
        <v>0</v>
      </c>
      <c r="E39" s="144">
        <v>0</v>
      </c>
      <c r="F39" s="145" t="s">
        <v>244</v>
      </c>
      <c r="G39" s="144" t="s">
        <v>1</v>
      </c>
      <c r="H39" s="144" t="s">
        <v>2</v>
      </c>
      <c r="I39" s="144" t="s">
        <v>12</v>
      </c>
      <c r="J39" s="145" t="s">
        <v>245</v>
      </c>
      <c r="K39" s="146" t="s">
        <v>246</v>
      </c>
      <c r="L39" s="146" t="s">
        <v>247</v>
      </c>
      <c r="M39" s="147" t="s">
        <v>4</v>
      </c>
      <c r="N39" s="147" t="s">
        <v>5</v>
      </c>
      <c r="O39" s="148">
        <v>44900</v>
      </c>
      <c r="P39" s="149" t="s">
        <v>24</v>
      </c>
      <c r="Q39" s="149" t="s">
        <v>24</v>
      </c>
      <c r="R39" s="149" t="s">
        <v>24</v>
      </c>
      <c r="S39" s="149" t="s">
        <v>24</v>
      </c>
      <c r="T39" s="149" t="s">
        <v>24</v>
      </c>
      <c r="U39" s="149" t="s">
        <v>24</v>
      </c>
      <c r="V39" s="149" t="s">
        <v>24</v>
      </c>
      <c r="W39" s="149" t="s">
        <v>24</v>
      </c>
      <c r="X39" s="149" t="s">
        <v>24</v>
      </c>
      <c r="Y39" s="149" t="s">
        <v>24</v>
      </c>
      <c r="Z39" s="149" t="s">
        <v>24</v>
      </c>
      <c r="AA39" s="144"/>
      <c r="AB39" s="163" t="s">
        <v>245</v>
      </c>
      <c r="AC39" s="145" t="s">
        <v>246</v>
      </c>
      <c r="AD39" s="145" t="s">
        <v>247</v>
      </c>
      <c r="AE39" s="144" t="s">
        <v>12</v>
      </c>
      <c r="AF39" s="150">
        <v>48100</v>
      </c>
      <c r="AG39" s="150">
        <v>60000</v>
      </c>
      <c r="AH39" s="151" t="s">
        <v>6</v>
      </c>
      <c r="AI39" s="144" t="s">
        <v>105</v>
      </c>
      <c r="AJ39" s="144" t="s">
        <v>4</v>
      </c>
      <c r="AK39" s="144" t="s">
        <v>105</v>
      </c>
      <c r="AL39" s="144" t="s">
        <v>105</v>
      </c>
      <c r="AM39" s="144" t="s">
        <v>106</v>
      </c>
      <c r="AN39" s="159"/>
      <c r="AO39" s="145" t="s">
        <v>248</v>
      </c>
      <c r="AP39" s="144" t="s">
        <v>105</v>
      </c>
      <c r="AQ39" s="144" t="s">
        <v>105</v>
      </c>
      <c r="AR39" s="144" t="s">
        <v>5851</v>
      </c>
      <c r="AS39" s="144"/>
      <c r="AT39" s="144"/>
      <c r="AU39" s="144"/>
      <c r="AV39" s="144"/>
      <c r="AW39" s="144"/>
      <c r="AX39" s="148"/>
      <c r="AY39" s="149"/>
      <c r="AZ39" s="144"/>
      <c r="BA39" s="144"/>
      <c r="BB39" s="152" t="s">
        <v>5855</v>
      </c>
      <c r="BC39" s="153" t="str">
        <f t="shared" si="0"/>
        <v/>
      </c>
      <c r="BD39" s="173"/>
      <c r="DP39" s="140"/>
    </row>
    <row r="40" spans="1:120" s="107" customFormat="1" ht="15" customHeight="1" x14ac:dyDescent="0.25">
      <c r="A40" s="144">
        <v>27</v>
      </c>
      <c r="B40" s="144" t="s">
        <v>99</v>
      </c>
      <c r="C40" s="144">
        <v>1</v>
      </c>
      <c r="D40" s="144">
        <v>0</v>
      </c>
      <c r="E40" s="144">
        <v>0</v>
      </c>
      <c r="F40" s="145" t="s">
        <v>249</v>
      </c>
      <c r="G40" s="144" t="s">
        <v>1</v>
      </c>
      <c r="H40" s="144" t="s">
        <v>2</v>
      </c>
      <c r="I40" s="144" t="s">
        <v>12</v>
      </c>
      <c r="J40" s="146" t="s">
        <v>250</v>
      </c>
      <c r="K40" s="146" t="s">
        <v>251</v>
      </c>
      <c r="L40" s="146" t="s">
        <v>252</v>
      </c>
      <c r="M40" s="147" t="s">
        <v>4</v>
      </c>
      <c r="N40" s="147" t="s">
        <v>5</v>
      </c>
      <c r="O40" s="148">
        <v>44900</v>
      </c>
      <c r="P40" s="149" t="s">
        <v>24</v>
      </c>
      <c r="Q40" s="149" t="s">
        <v>24</v>
      </c>
      <c r="R40" s="149" t="s">
        <v>24</v>
      </c>
      <c r="S40" s="149" t="s">
        <v>24</v>
      </c>
      <c r="T40" s="149" t="s">
        <v>24</v>
      </c>
      <c r="U40" s="149" t="s">
        <v>24</v>
      </c>
      <c r="V40" s="149" t="s">
        <v>24</v>
      </c>
      <c r="W40" s="149" t="s">
        <v>24</v>
      </c>
      <c r="X40" s="149" t="s">
        <v>24</v>
      </c>
      <c r="Y40" s="149" t="s">
        <v>24</v>
      </c>
      <c r="Z40" s="149" t="s">
        <v>24</v>
      </c>
      <c r="AA40" s="144"/>
      <c r="AB40" s="146" t="s">
        <v>250</v>
      </c>
      <c r="AC40" s="146" t="s">
        <v>251</v>
      </c>
      <c r="AD40" s="146" t="s">
        <v>252</v>
      </c>
      <c r="AE40" s="144" t="s">
        <v>12</v>
      </c>
      <c r="AF40" s="168">
        <v>27500</v>
      </c>
      <c r="AG40" s="168">
        <f>AF40+30000</f>
        <v>57500</v>
      </c>
      <c r="AH40" s="151" t="s">
        <v>6</v>
      </c>
      <c r="AI40" s="144" t="s">
        <v>105</v>
      </c>
      <c r="AJ40" s="144" t="s">
        <v>4</v>
      </c>
      <c r="AK40" s="144" t="s">
        <v>105</v>
      </c>
      <c r="AL40" s="144" t="s">
        <v>105</v>
      </c>
      <c r="AM40" s="144" t="s">
        <v>106</v>
      </c>
      <c r="AN40" s="155"/>
      <c r="AO40" s="145" t="s">
        <v>253</v>
      </c>
      <c r="AP40" s="144" t="s">
        <v>105</v>
      </c>
      <c r="AQ40" s="144" t="s">
        <v>105</v>
      </c>
      <c r="AR40" s="144" t="s">
        <v>5851</v>
      </c>
      <c r="AS40" s="144"/>
      <c r="AT40" s="144"/>
      <c r="AU40" s="144"/>
      <c r="AV40" s="144"/>
      <c r="AW40" s="144"/>
      <c r="AX40" s="148"/>
      <c r="AY40" s="149"/>
      <c r="AZ40" s="144"/>
      <c r="BA40" s="144"/>
      <c r="BB40" s="152" t="s">
        <v>5855</v>
      </c>
      <c r="BC40" s="153" t="str">
        <f t="shared" si="0"/>
        <v/>
      </c>
      <c r="BD40" s="173"/>
      <c r="DP40" s="140"/>
    </row>
    <row r="41" spans="1:120" s="107" customFormat="1" ht="15" hidden="1" customHeight="1" x14ac:dyDescent="0.25">
      <c r="A41" s="144">
        <v>28</v>
      </c>
      <c r="B41" s="144" t="s">
        <v>99</v>
      </c>
      <c r="C41" s="144">
        <v>1</v>
      </c>
      <c r="D41" s="144">
        <v>0</v>
      </c>
      <c r="E41" s="144">
        <v>0</v>
      </c>
      <c r="F41" s="145" t="s">
        <v>254</v>
      </c>
      <c r="G41" s="144" t="s">
        <v>1</v>
      </c>
      <c r="H41" s="144" t="s">
        <v>2</v>
      </c>
      <c r="I41" s="144" t="s">
        <v>121</v>
      </c>
      <c r="J41" s="146" t="s">
        <v>255</v>
      </c>
      <c r="K41" s="146" t="s">
        <v>256</v>
      </c>
      <c r="L41" s="146" t="s">
        <v>257</v>
      </c>
      <c r="M41" s="147" t="s">
        <v>4</v>
      </c>
      <c r="N41" s="147" t="s">
        <v>14</v>
      </c>
      <c r="O41" s="148">
        <v>44900</v>
      </c>
      <c r="P41" s="149" t="s">
        <v>17</v>
      </c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4"/>
      <c r="AB41" s="162" t="s">
        <v>258</v>
      </c>
      <c r="AC41" s="145" t="s">
        <v>5864</v>
      </c>
      <c r="AD41" s="145" t="s">
        <v>260</v>
      </c>
      <c r="AE41" s="144" t="s">
        <v>3</v>
      </c>
      <c r="AF41" s="168">
        <v>0</v>
      </c>
      <c r="AG41" s="168">
        <v>60000</v>
      </c>
      <c r="AH41" s="151" t="s">
        <v>6</v>
      </c>
      <c r="AI41" s="144" t="s">
        <v>105</v>
      </c>
      <c r="AJ41" s="144" t="s">
        <v>4</v>
      </c>
      <c r="AK41" s="144" t="s">
        <v>5859</v>
      </c>
      <c r="AL41" s="144" t="s">
        <v>17</v>
      </c>
      <c r="AM41" s="144" t="s">
        <v>5860</v>
      </c>
      <c r="AN41" s="161" t="s">
        <v>5865</v>
      </c>
      <c r="AO41" s="145" t="s">
        <v>271</v>
      </c>
      <c r="AP41" s="144"/>
      <c r="AQ41" s="144"/>
      <c r="AR41" s="144"/>
      <c r="AS41" s="144"/>
      <c r="AT41" s="144"/>
      <c r="AU41" s="144"/>
      <c r="AV41" s="144"/>
      <c r="AW41" s="144"/>
      <c r="AX41" s="148"/>
      <c r="AY41" s="149"/>
      <c r="AZ41" s="144"/>
      <c r="BA41" s="144"/>
      <c r="BB41" s="152" t="s">
        <v>5850</v>
      </c>
      <c r="BC41" s="153" t="str">
        <f t="shared" si="0"/>
        <v/>
      </c>
      <c r="BD41" s="173"/>
      <c r="DP41" s="140"/>
    </row>
    <row r="42" spans="1:120" s="107" customFormat="1" ht="15" hidden="1" customHeight="1" x14ac:dyDescent="0.25">
      <c r="A42" s="144">
        <v>29</v>
      </c>
      <c r="B42" s="144" t="s">
        <v>99</v>
      </c>
      <c r="C42" s="144">
        <v>1</v>
      </c>
      <c r="D42" s="144">
        <v>0</v>
      </c>
      <c r="E42" s="144">
        <v>0</v>
      </c>
      <c r="F42" s="145" t="s">
        <v>263</v>
      </c>
      <c r="G42" s="144" t="s">
        <v>1</v>
      </c>
      <c r="H42" s="144" t="s">
        <v>2</v>
      </c>
      <c r="I42" s="144" t="s">
        <v>12</v>
      </c>
      <c r="J42" s="146" t="s">
        <v>258</v>
      </c>
      <c r="K42" s="146" t="s">
        <v>5864</v>
      </c>
      <c r="L42" s="146" t="s">
        <v>260</v>
      </c>
      <c r="M42" s="147" t="s">
        <v>4</v>
      </c>
      <c r="N42" s="147" t="s">
        <v>5</v>
      </c>
      <c r="O42" s="148">
        <v>44900</v>
      </c>
      <c r="P42" s="149" t="s">
        <v>24</v>
      </c>
      <c r="Q42" s="149" t="s">
        <v>24</v>
      </c>
      <c r="R42" s="149" t="s">
        <v>24</v>
      </c>
      <c r="S42" s="149" t="s">
        <v>24</v>
      </c>
      <c r="T42" s="149" t="s">
        <v>24</v>
      </c>
      <c r="U42" s="149" t="s">
        <v>24</v>
      </c>
      <c r="V42" s="149" t="s">
        <v>24</v>
      </c>
      <c r="W42" s="149" t="s">
        <v>24</v>
      </c>
      <c r="X42" s="149" t="s">
        <v>24</v>
      </c>
      <c r="Y42" s="149" t="s">
        <v>24</v>
      </c>
      <c r="Z42" s="149" t="s">
        <v>24</v>
      </c>
      <c r="AA42" s="144"/>
      <c r="AB42" s="162" t="s">
        <v>258</v>
      </c>
      <c r="AC42" s="145" t="s">
        <v>5864</v>
      </c>
      <c r="AD42" s="145" t="s">
        <v>260</v>
      </c>
      <c r="AE42" s="144" t="s">
        <v>12</v>
      </c>
      <c r="AF42" s="168">
        <v>0</v>
      </c>
      <c r="AG42" s="168">
        <v>60000</v>
      </c>
      <c r="AH42" s="151" t="s">
        <v>6</v>
      </c>
      <c r="AI42" s="144" t="s">
        <v>105</v>
      </c>
      <c r="AJ42" s="144" t="s">
        <v>4</v>
      </c>
      <c r="AK42" s="144" t="s">
        <v>5859</v>
      </c>
      <c r="AL42" s="144" t="s">
        <v>17</v>
      </c>
      <c r="AM42" s="144" t="s">
        <v>5860</v>
      </c>
      <c r="AN42" s="144"/>
      <c r="AO42" s="145"/>
      <c r="AP42" s="144"/>
      <c r="AQ42" s="144"/>
      <c r="AR42" s="144"/>
      <c r="AS42" s="144"/>
      <c r="AT42" s="144"/>
      <c r="AU42" s="144"/>
      <c r="AV42" s="144"/>
      <c r="AW42" s="144"/>
      <c r="AX42" s="148"/>
      <c r="AY42" s="149"/>
      <c r="AZ42" s="144"/>
      <c r="BA42" s="144"/>
      <c r="BB42" s="152" t="s">
        <v>5850</v>
      </c>
      <c r="BC42" s="153" t="str">
        <f t="shared" si="0"/>
        <v/>
      </c>
      <c r="BD42" s="173"/>
      <c r="DP42" s="140"/>
    </row>
    <row r="43" spans="1:120" s="107" customFormat="1" ht="15" hidden="1" customHeight="1" x14ac:dyDescent="0.25">
      <c r="A43" s="144">
        <v>30</v>
      </c>
      <c r="B43" s="144" t="s">
        <v>99</v>
      </c>
      <c r="C43" s="144">
        <v>1</v>
      </c>
      <c r="D43" s="144">
        <v>0</v>
      </c>
      <c r="E43" s="144">
        <v>0</v>
      </c>
      <c r="F43" s="145" t="s">
        <v>272</v>
      </c>
      <c r="G43" s="144" t="s">
        <v>1</v>
      </c>
      <c r="H43" s="144" t="s">
        <v>2</v>
      </c>
      <c r="I43" s="144" t="s">
        <v>12</v>
      </c>
      <c r="J43" s="146" t="s">
        <v>273</v>
      </c>
      <c r="K43" s="146" t="s">
        <v>274</v>
      </c>
      <c r="L43" s="146" t="s">
        <v>275</v>
      </c>
      <c r="M43" s="147" t="s">
        <v>4</v>
      </c>
      <c r="N43" s="147" t="s">
        <v>5</v>
      </c>
      <c r="O43" s="148">
        <v>44900</v>
      </c>
      <c r="P43" s="149" t="s">
        <v>24</v>
      </c>
      <c r="Q43" s="149" t="s">
        <v>24</v>
      </c>
      <c r="R43" s="149" t="s">
        <v>24</v>
      </c>
      <c r="S43" s="149" t="s">
        <v>24</v>
      </c>
      <c r="T43" s="149" t="s">
        <v>24</v>
      </c>
      <c r="U43" s="149" t="s">
        <v>24</v>
      </c>
      <c r="V43" s="149" t="s">
        <v>24</v>
      </c>
      <c r="W43" s="149" t="s">
        <v>24</v>
      </c>
      <c r="X43" s="149" t="s">
        <v>24</v>
      </c>
      <c r="Y43" s="149" t="s">
        <v>24</v>
      </c>
      <c r="Z43" s="149" t="s">
        <v>24</v>
      </c>
      <c r="AA43" s="144"/>
      <c r="AB43" s="146" t="s">
        <v>273</v>
      </c>
      <c r="AC43" s="145" t="s">
        <v>274</v>
      </c>
      <c r="AD43" s="145" t="s">
        <v>275</v>
      </c>
      <c r="AE43" s="144" t="s">
        <v>12</v>
      </c>
      <c r="AF43" s="150">
        <v>37500</v>
      </c>
      <c r="AG43" s="150">
        <v>60000</v>
      </c>
      <c r="AH43" s="151" t="s">
        <v>6</v>
      </c>
      <c r="AI43" s="144" t="s">
        <v>105</v>
      </c>
      <c r="AJ43" s="144" t="s">
        <v>4</v>
      </c>
      <c r="AK43" s="144" t="s">
        <v>105</v>
      </c>
      <c r="AL43" s="144" t="s">
        <v>105</v>
      </c>
      <c r="AM43" s="144" t="s">
        <v>106</v>
      </c>
      <c r="AN43" s="159"/>
      <c r="AO43" s="145" t="s">
        <v>276</v>
      </c>
      <c r="AP43" s="144" t="s">
        <v>105</v>
      </c>
      <c r="AQ43" s="144" t="s">
        <v>105</v>
      </c>
      <c r="AR43" s="144" t="s">
        <v>105</v>
      </c>
      <c r="AS43" s="144" t="s">
        <v>105</v>
      </c>
      <c r="AT43" s="148">
        <v>44922</v>
      </c>
      <c r="AU43" s="144" t="s">
        <v>105</v>
      </c>
      <c r="AV43" s="144" t="s">
        <v>105</v>
      </c>
      <c r="AW43" s="144" t="s">
        <v>105</v>
      </c>
      <c r="AX43" s="148">
        <v>44924</v>
      </c>
      <c r="AY43" s="148">
        <v>44924</v>
      </c>
      <c r="AZ43" s="144" t="s">
        <v>220</v>
      </c>
      <c r="BA43" s="144" t="s">
        <v>1</v>
      </c>
      <c r="BB43" s="152" t="s">
        <v>105</v>
      </c>
      <c r="BC43" s="153">
        <f t="shared" si="0"/>
        <v>24</v>
      </c>
      <c r="BD43" s="173"/>
      <c r="DP43" s="140"/>
    </row>
    <row r="44" spans="1:120" s="128" customFormat="1" ht="15" hidden="1" customHeight="1" x14ac:dyDescent="0.25">
      <c r="A44" s="144">
        <v>31</v>
      </c>
      <c r="B44" s="144" t="s">
        <v>99</v>
      </c>
      <c r="C44" s="144">
        <v>1</v>
      </c>
      <c r="D44" s="144">
        <v>0</v>
      </c>
      <c r="E44" s="144">
        <v>0</v>
      </c>
      <c r="F44" s="145" t="s">
        <v>277</v>
      </c>
      <c r="G44" s="144" t="s">
        <v>1</v>
      </c>
      <c r="H44" s="144" t="s">
        <v>2</v>
      </c>
      <c r="I44" s="144" t="s">
        <v>12</v>
      </c>
      <c r="J44" s="146" t="s">
        <v>278</v>
      </c>
      <c r="K44" s="146" t="s">
        <v>279</v>
      </c>
      <c r="L44" s="146" t="s">
        <v>280</v>
      </c>
      <c r="M44" s="147" t="s">
        <v>4</v>
      </c>
      <c r="N44" s="147" t="s">
        <v>17</v>
      </c>
      <c r="O44" s="148">
        <v>44900</v>
      </c>
      <c r="P44" s="149" t="s">
        <v>139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4"/>
      <c r="AB44" s="146" t="s">
        <v>278</v>
      </c>
      <c r="AC44" s="145" t="s">
        <v>279</v>
      </c>
      <c r="AD44" s="145" t="s">
        <v>280</v>
      </c>
      <c r="AE44" s="144" t="s">
        <v>12</v>
      </c>
      <c r="AF44" s="150">
        <v>31100</v>
      </c>
      <c r="AG44" s="150">
        <v>60000</v>
      </c>
      <c r="AH44" s="151"/>
      <c r="AI44" s="144"/>
      <c r="AJ44" s="144" t="s">
        <v>139</v>
      </c>
      <c r="AK44" s="144"/>
      <c r="AL44" s="144"/>
      <c r="AM44" s="144"/>
      <c r="AN44" s="144"/>
      <c r="AO44" s="145"/>
      <c r="AP44" s="144"/>
      <c r="AQ44" s="144"/>
      <c r="AR44" s="144"/>
      <c r="AS44" s="144"/>
      <c r="AT44" s="144"/>
      <c r="AU44" s="144"/>
      <c r="AV44" s="144"/>
      <c r="AW44" s="144"/>
      <c r="AX44" s="144"/>
      <c r="AY44" s="149"/>
      <c r="AZ44" s="144"/>
      <c r="BA44" s="144"/>
      <c r="BB44" s="152"/>
      <c r="BC44" s="153" t="str">
        <f t="shared" si="0"/>
        <v/>
      </c>
      <c r="BD44" s="173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DP44" s="141"/>
    </row>
    <row r="45" spans="1:120" s="107" customFormat="1" ht="15" hidden="1" customHeight="1" x14ac:dyDescent="0.25">
      <c r="A45" s="144">
        <v>32</v>
      </c>
      <c r="B45" s="144" t="s">
        <v>99</v>
      </c>
      <c r="C45" s="144">
        <v>1</v>
      </c>
      <c r="D45" s="144">
        <v>0</v>
      </c>
      <c r="E45" s="144">
        <v>0</v>
      </c>
      <c r="F45" s="145" t="s">
        <v>281</v>
      </c>
      <c r="G45" s="144" t="s">
        <v>1</v>
      </c>
      <c r="H45" s="144" t="s">
        <v>2</v>
      </c>
      <c r="I45" s="144" t="s">
        <v>12</v>
      </c>
      <c r="J45" s="146" t="s">
        <v>282</v>
      </c>
      <c r="K45" s="146" t="s">
        <v>283</v>
      </c>
      <c r="L45" s="146" t="s">
        <v>284</v>
      </c>
      <c r="M45" s="147" t="s">
        <v>4</v>
      </c>
      <c r="N45" s="147" t="s">
        <v>17</v>
      </c>
      <c r="O45" s="148">
        <v>44900</v>
      </c>
      <c r="P45" s="149" t="s">
        <v>139</v>
      </c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4"/>
      <c r="AB45" s="146" t="s">
        <v>282</v>
      </c>
      <c r="AC45" s="145" t="s">
        <v>283</v>
      </c>
      <c r="AD45" s="145" t="s">
        <v>284</v>
      </c>
      <c r="AE45" s="144" t="s">
        <v>12</v>
      </c>
      <c r="AF45" s="150">
        <v>3400</v>
      </c>
      <c r="AG45" s="150">
        <v>33400</v>
      </c>
      <c r="AH45" s="151"/>
      <c r="AI45" s="144"/>
      <c r="AJ45" s="144" t="s">
        <v>139</v>
      </c>
      <c r="AK45" s="144"/>
      <c r="AL45" s="144"/>
      <c r="AM45" s="144"/>
      <c r="AN45" s="144"/>
      <c r="AO45" s="145"/>
      <c r="AP45" s="144"/>
      <c r="AQ45" s="144"/>
      <c r="AR45" s="144"/>
      <c r="AS45" s="144"/>
      <c r="AT45" s="144"/>
      <c r="AU45" s="144"/>
      <c r="AV45" s="144"/>
      <c r="AW45" s="144"/>
      <c r="AX45" s="144"/>
      <c r="AY45" s="149"/>
      <c r="AZ45" s="144"/>
      <c r="BA45" s="144"/>
      <c r="BB45" s="152"/>
      <c r="BC45" s="153" t="str">
        <f t="shared" si="0"/>
        <v/>
      </c>
      <c r="BD45" s="173"/>
      <c r="DP45" s="140"/>
    </row>
    <row r="46" spans="1:120" s="107" customFormat="1" ht="15" hidden="1" customHeight="1" x14ac:dyDescent="0.25">
      <c r="A46" s="144">
        <v>33</v>
      </c>
      <c r="B46" s="144" t="s">
        <v>99</v>
      </c>
      <c r="C46" s="144">
        <v>1</v>
      </c>
      <c r="D46" s="144">
        <v>0</v>
      </c>
      <c r="E46" s="144">
        <v>0</v>
      </c>
      <c r="F46" s="145" t="s">
        <v>285</v>
      </c>
      <c r="G46" s="144" t="s">
        <v>1</v>
      </c>
      <c r="H46" s="144" t="s">
        <v>2</v>
      </c>
      <c r="I46" s="144" t="s">
        <v>121</v>
      </c>
      <c r="J46" s="146" t="s">
        <v>286</v>
      </c>
      <c r="K46" s="146" t="s">
        <v>287</v>
      </c>
      <c r="L46" s="146" t="s">
        <v>288</v>
      </c>
      <c r="M46" s="147" t="s">
        <v>4</v>
      </c>
      <c r="N46" s="147" t="s">
        <v>14</v>
      </c>
      <c r="O46" s="148">
        <v>44900</v>
      </c>
      <c r="P46" s="149" t="s">
        <v>17</v>
      </c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4"/>
      <c r="AB46" s="146" t="s">
        <v>282</v>
      </c>
      <c r="AC46" s="145" t="s">
        <v>283</v>
      </c>
      <c r="AD46" s="145" t="s">
        <v>284</v>
      </c>
      <c r="AE46" s="144" t="s">
        <v>3</v>
      </c>
      <c r="AF46" s="150">
        <v>34900</v>
      </c>
      <c r="AG46" s="150">
        <v>60000</v>
      </c>
      <c r="AH46" s="151"/>
      <c r="AI46" s="144"/>
      <c r="AJ46" s="144" t="s">
        <v>139</v>
      </c>
      <c r="AK46" s="144"/>
      <c r="AL46" s="144"/>
      <c r="AM46" s="144"/>
      <c r="AN46" s="144"/>
      <c r="AO46" s="145"/>
      <c r="AP46" s="144"/>
      <c r="AQ46" s="144"/>
      <c r="AR46" s="144"/>
      <c r="AS46" s="144"/>
      <c r="AT46" s="144"/>
      <c r="AU46" s="144"/>
      <c r="AV46" s="144"/>
      <c r="AW46" s="144"/>
      <c r="AX46" s="144"/>
      <c r="AY46" s="149"/>
      <c r="AZ46" s="144"/>
      <c r="BA46" s="144"/>
      <c r="BB46" s="152"/>
      <c r="BC46" s="153" t="str">
        <f t="shared" ref="BC46:BC62" si="1">IF(AY46-ON46=0,"",AY46-O46)</f>
        <v/>
      </c>
      <c r="BD46" s="173"/>
      <c r="DP46" s="140"/>
    </row>
    <row r="47" spans="1:120" s="128" customFormat="1" ht="15" hidden="1" customHeight="1" x14ac:dyDescent="0.25">
      <c r="A47" s="144">
        <v>34</v>
      </c>
      <c r="B47" s="144" t="s">
        <v>99</v>
      </c>
      <c r="C47" s="144">
        <v>1</v>
      </c>
      <c r="D47" s="144">
        <v>0</v>
      </c>
      <c r="E47" s="144">
        <v>0</v>
      </c>
      <c r="F47" s="145" t="s">
        <v>290</v>
      </c>
      <c r="G47" s="144" t="s">
        <v>1</v>
      </c>
      <c r="H47" s="144" t="s">
        <v>2</v>
      </c>
      <c r="I47" s="144" t="s">
        <v>121</v>
      </c>
      <c r="J47" s="146" t="s">
        <v>291</v>
      </c>
      <c r="K47" s="146" t="s">
        <v>292</v>
      </c>
      <c r="L47" s="146" t="s">
        <v>293</v>
      </c>
      <c r="M47" s="147" t="s">
        <v>4</v>
      </c>
      <c r="N47" s="147" t="s">
        <v>14</v>
      </c>
      <c r="O47" s="148">
        <v>44900</v>
      </c>
      <c r="P47" s="149" t="s">
        <v>17</v>
      </c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4"/>
      <c r="AB47" s="146" t="s">
        <v>282</v>
      </c>
      <c r="AC47" s="145" t="s">
        <v>283</v>
      </c>
      <c r="AD47" s="145" t="s">
        <v>284</v>
      </c>
      <c r="AE47" s="144" t="s">
        <v>3</v>
      </c>
      <c r="AF47" s="150">
        <v>20300</v>
      </c>
      <c r="AG47" s="150">
        <v>50300</v>
      </c>
      <c r="AH47" s="151"/>
      <c r="AI47" s="144"/>
      <c r="AJ47" s="144" t="s">
        <v>139</v>
      </c>
      <c r="AK47" s="144"/>
      <c r="AL47" s="144"/>
      <c r="AM47" s="144"/>
      <c r="AN47" s="144"/>
      <c r="AO47" s="145"/>
      <c r="AP47" s="144"/>
      <c r="AQ47" s="144"/>
      <c r="AR47" s="144"/>
      <c r="AS47" s="144"/>
      <c r="AT47" s="144"/>
      <c r="AU47" s="144"/>
      <c r="AV47" s="144"/>
      <c r="AW47" s="144"/>
      <c r="AX47" s="144"/>
      <c r="AY47" s="149"/>
      <c r="AZ47" s="144"/>
      <c r="BA47" s="144"/>
      <c r="BB47" s="152"/>
      <c r="BC47" s="153" t="str">
        <f t="shared" si="1"/>
        <v/>
      </c>
      <c r="BD47" s="173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DP47" s="141"/>
    </row>
    <row r="48" spans="1:120" s="107" customFormat="1" ht="15" hidden="1" customHeight="1" x14ac:dyDescent="0.25">
      <c r="A48" s="144">
        <v>35</v>
      </c>
      <c r="B48" s="144" t="s">
        <v>99</v>
      </c>
      <c r="C48" s="144">
        <v>1</v>
      </c>
      <c r="D48" s="144">
        <v>0</v>
      </c>
      <c r="E48" s="144">
        <v>0</v>
      </c>
      <c r="F48" s="145" t="s">
        <v>294</v>
      </c>
      <c r="G48" s="144" t="s">
        <v>26</v>
      </c>
      <c r="H48" s="144" t="s">
        <v>2</v>
      </c>
      <c r="I48" s="144" t="s">
        <v>360</v>
      </c>
      <c r="J48" s="145" t="s">
        <v>139</v>
      </c>
      <c r="K48" s="146" t="s">
        <v>139</v>
      </c>
      <c r="L48" s="146" t="s">
        <v>139</v>
      </c>
      <c r="M48" s="147" t="s">
        <v>17</v>
      </c>
      <c r="N48" s="147" t="s">
        <v>17</v>
      </c>
      <c r="O48" s="148">
        <v>44900</v>
      </c>
      <c r="P48" s="149" t="s">
        <v>17</v>
      </c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4"/>
      <c r="AB48" s="145" t="s">
        <v>295</v>
      </c>
      <c r="AC48" s="145" t="s">
        <v>296</v>
      </c>
      <c r="AD48" s="145" t="s">
        <v>297</v>
      </c>
      <c r="AE48" s="144" t="s">
        <v>3</v>
      </c>
      <c r="AF48" s="168">
        <f>AG48-30000</f>
        <v>8500</v>
      </c>
      <c r="AG48" s="150">
        <v>38500</v>
      </c>
      <c r="AH48" s="151" t="s">
        <v>6</v>
      </c>
      <c r="AI48" s="144" t="s">
        <v>105</v>
      </c>
      <c r="AJ48" s="144" t="s">
        <v>4</v>
      </c>
      <c r="AK48" s="144" t="s">
        <v>105</v>
      </c>
      <c r="AL48" s="144" t="s">
        <v>105</v>
      </c>
      <c r="AM48" s="144" t="s">
        <v>106</v>
      </c>
      <c r="AN48" s="144"/>
      <c r="AO48" s="145" t="s">
        <v>298</v>
      </c>
      <c r="AP48" s="144" t="s">
        <v>105</v>
      </c>
      <c r="AQ48" s="144" t="s">
        <v>105</v>
      </c>
      <c r="AR48" s="144" t="s">
        <v>105</v>
      </c>
      <c r="AS48" s="144" t="s">
        <v>105</v>
      </c>
      <c r="AT48" s="148">
        <v>44922</v>
      </c>
      <c r="AU48" s="144" t="s">
        <v>105</v>
      </c>
      <c r="AV48" s="144" t="s">
        <v>105</v>
      </c>
      <c r="AW48" s="144" t="s">
        <v>105</v>
      </c>
      <c r="AX48" s="148">
        <v>44924</v>
      </c>
      <c r="AY48" s="148">
        <v>44924</v>
      </c>
      <c r="AZ48" s="144" t="s">
        <v>220</v>
      </c>
      <c r="BA48" s="144" t="s">
        <v>1</v>
      </c>
      <c r="BB48" s="152" t="s">
        <v>5866</v>
      </c>
      <c r="BC48" s="153">
        <f t="shared" si="1"/>
        <v>24</v>
      </c>
      <c r="BD48" s="173"/>
      <c r="DP48" s="140"/>
    </row>
    <row r="49" spans="1:120" s="107" customFormat="1" ht="15" hidden="1" customHeight="1" x14ac:dyDescent="0.25">
      <c r="A49" s="144">
        <v>36</v>
      </c>
      <c r="B49" s="144" t="s">
        <v>99</v>
      </c>
      <c r="C49" s="144">
        <v>1</v>
      </c>
      <c r="D49" s="144">
        <v>0</v>
      </c>
      <c r="E49" s="144">
        <v>0</v>
      </c>
      <c r="F49" s="145" t="s">
        <v>299</v>
      </c>
      <c r="G49" s="144" t="s">
        <v>1</v>
      </c>
      <c r="H49" s="144" t="s">
        <v>2</v>
      </c>
      <c r="I49" s="144" t="s">
        <v>121</v>
      </c>
      <c r="J49" s="162" t="s">
        <v>5867</v>
      </c>
      <c r="K49" s="163" t="s">
        <v>5868</v>
      </c>
      <c r="L49" s="164" t="s">
        <v>297</v>
      </c>
      <c r="M49" s="147" t="s">
        <v>17</v>
      </c>
      <c r="N49" s="147" t="s">
        <v>17</v>
      </c>
      <c r="O49" s="148">
        <v>44900</v>
      </c>
      <c r="P49" s="149" t="s">
        <v>139</v>
      </c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4"/>
      <c r="AB49" s="162" t="s">
        <v>5867</v>
      </c>
      <c r="AC49" s="163" t="s">
        <v>5868</v>
      </c>
      <c r="AD49" s="164" t="s">
        <v>297</v>
      </c>
      <c r="AE49" s="144" t="s">
        <v>3</v>
      </c>
      <c r="AF49" s="150">
        <v>33500</v>
      </c>
      <c r="AG49" s="150">
        <v>60000</v>
      </c>
      <c r="AH49" s="151"/>
      <c r="AI49" s="144"/>
      <c r="AJ49" s="144" t="s">
        <v>139</v>
      </c>
      <c r="AK49" s="144"/>
      <c r="AL49" s="144"/>
      <c r="AM49" s="144"/>
      <c r="AN49" s="144"/>
      <c r="AO49" s="145"/>
      <c r="AP49" s="144"/>
      <c r="AQ49" s="144"/>
      <c r="AR49" s="144"/>
      <c r="AS49" s="144"/>
      <c r="AT49" s="144"/>
      <c r="AU49" s="144"/>
      <c r="AV49" s="144"/>
      <c r="AW49" s="144"/>
      <c r="AX49" s="144"/>
      <c r="AY49" s="149"/>
      <c r="AZ49" s="144"/>
      <c r="BA49" s="144"/>
      <c r="BB49" s="152"/>
      <c r="BC49" s="153" t="str">
        <f t="shared" si="1"/>
        <v/>
      </c>
      <c r="BD49" s="173"/>
      <c r="DP49" s="140"/>
    </row>
    <row r="50" spans="1:120" s="107" customFormat="1" ht="15" hidden="1" customHeight="1" x14ac:dyDescent="0.25">
      <c r="A50" s="144">
        <v>37</v>
      </c>
      <c r="B50" s="144" t="s">
        <v>99</v>
      </c>
      <c r="C50" s="144">
        <v>1</v>
      </c>
      <c r="D50" s="144">
        <v>0</v>
      </c>
      <c r="E50" s="144">
        <v>0</v>
      </c>
      <c r="F50" s="145" t="s">
        <v>308</v>
      </c>
      <c r="G50" s="144" t="s">
        <v>1</v>
      </c>
      <c r="H50" s="144" t="s">
        <v>2</v>
      </c>
      <c r="I50" s="144" t="s">
        <v>121</v>
      </c>
      <c r="J50" s="146" t="s">
        <v>309</v>
      </c>
      <c r="K50" s="146" t="s">
        <v>310</v>
      </c>
      <c r="L50" s="146" t="s">
        <v>311</v>
      </c>
      <c r="M50" s="147" t="s">
        <v>4</v>
      </c>
      <c r="N50" s="147" t="s">
        <v>14</v>
      </c>
      <c r="O50" s="148">
        <v>44900</v>
      </c>
      <c r="P50" s="149" t="s">
        <v>17</v>
      </c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4"/>
      <c r="AB50" s="162" t="s">
        <v>314</v>
      </c>
      <c r="AC50" s="165">
        <v>36973178</v>
      </c>
      <c r="AD50" s="145" t="s">
        <v>315</v>
      </c>
      <c r="AE50" s="144" t="s">
        <v>3</v>
      </c>
      <c r="AF50" s="168">
        <v>0</v>
      </c>
      <c r="AG50" s="168">
        <v>60000</v>
      </c>
      <c r="AH50" s="151" t="s">
        <v>6</v>
      </c>
      <c r="AI50" s="144" t="s">
        <v>105</v>
      </c>
      <c r="AJ50" s="144" t="s">
        <v>4</v>
      </c>
      <c r="AK50" s="144" t="s">
        <v>105</v>
      </c>
      <c r="AL50" s="144" t="s">
        <v>105</v>
      </c>
      <c r="AM50" s="144" t="s">
        <v>106</v>
      </c>
      <c r="AN50" s="144"/>
      <c r="AO50" s="145" t="s">
        <v>316</v>
      </c>
      <c r="AP50" s="144" t="s">
        <v>105</v>
      </c>
      <c r="AQ50" s="144" t="s">
        <v>105</v>
      </c>
      <c r="AR50" s="144" t="s">
        <v>105</v>
      </c>
      <c r="AS50" s="144" t="s">
        <v>105</v>
      </c>
      <c r="AT50" s="148">
        <v>44922</v>
      </c>
      <c r="AU50" s="144" t="s">
        <v>105</v>
      </c>
      <c r="AV50" s="144" t="s">
        <v>105</v>
      </c>
      <c r="AW50" s="144" t="s">
        <v>5869</v>
      </c>
      <c r="AX50" s="148"/>
      <c r="AY50" s="149"/>
      <c r="AZ50" s="144"/>
      <c r="BA50" s="144"/>
      <c r="BB50" s="152" t="s">
        <v>5852</v>
      </c>
      <c r="BC50" s="153" t="str">
        <f t="shared" si="1"/>
        <v/>
      </c>
      <c r="BD50" s="173"/>
      <c r="DP50" s="140"/>
    </row>
    <row r="51" spans="1:120" s="107" customFormat="1" ht="15" customHeight="1" x14ac:dyDescent="0.25">
      <c r="A51" s="144">
        <v>38</v>
      </c>
      <c r="B51" s="144" t="s">
        <v>99</v>
      </c>
      <c r="C51" s="144">
        <v>1</v>
      </c>
      <c r="D51" s="144">
        <v>0</v>
      </c>
      <c r="E51" s="144">
        <v>0</v>
      </c>
      <c r="F51" s="145" t="s">
        <v>317</v>
      </c>
      <c r="G51" s="144" t="s">
        <v>1</v>
      </c>
      <c r="H51" s="144" t="s">
        <v>2</v>
      </c>
      <c r="I51" s="144" t="s">
        <v>121</v>
      </c>
      <c r="J51" s="146" t="s">
        <v>318</v>
      </c>
      <c r="K51" s="146" t="s">
        <v>319</v>
      </c>
      <c r="L51" s="146" t="s">
        <v>320</v>
      </c>
      <c r="M51" s="147" t="s">
        <v>4</v>
      </c>
      <c r="N51" s="147" t="s">
        <v>14</v>
      </c>
      <c r="O51" s="148">
        <v>44900</v>
      </c>
      <c r="P51" s="149" t="s">
        <v>17</v>
      </c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4"/>
      <c r="AB51" s="162" t="s">
        <v>321</v>
      </c>
      <c r="AC51" s="163" t="s">
        <v>322</v>
      </c>
      <c r="AD51" s="163" t="s">
        <v>323</v>
      </c>
      <c r="AE51" s="144" t="s">
        <v>3</v>
      </c>
      <c r="AF51" s="150">
        <v>53700</v>
      </c>
      <c r="AG51" s="150">
        <v>60000</v>
      </c>
      <c r="AH51" s="151" t="s">
        <v>6</v>
      </c>
      <c r="AI51" s="144" t="s">
        <v>105</v>
      </c>
      <c r="AJ51" s="144" t="s">
        <v>4</v>
      </c>
      <c r="AK51" s="144" t="s">
        <v>105</v>
      </c>
      <c r="AL51" s="144" t="s">
        <v>105</v>
      </c>
      <c r="AM51" s="144" t="s">
        <v>106</v>
      </c>
      <c r="AN51" s="144"/>
      <c r="AO51" s="145" t="s">
        <v>324</v>
      </c>
      <c r="AP51" s="144" t="s">
        <v>105</v>
      </c>
      <c r="AQ51" s="144" t="s">
        <v>105</v>
      </c>
      <c r="AR51" s="144" t="s">
        <v>5851</v>
      </c>
      <c r="AS51" s="144"/>
      <c r="AT51" s="144"/>
      <c r="AU51" s="144"/>
      <c r="AV51" s="144"/>
      <c r="AW51" s="144"/>
      <c r="AX51" s="144"/>
      <c r="AY51" s="149"/>
      <c r="AZ51" s="144"/>
      <c r="BA51" s="144"/>
      <c r="BB51" s="152"/>
      <c r="BC51" s="153" t="str">
        <f t="shared" si="1"/>
        <v/>
      </c>
      <c r="BD51" s="173"/>
      <c r="DP51" s="140"/>
    </row>
    <row r="52" spans="1:120" s="107" customFormat="1" ht="15" customHeight="1" x14ac:dyDescent="0.25">
      <c r="A52" s="144">
        <v>39</v>
      </c>
      <c r="B52" s="144" t="s">
        <v>99</v>
      </c>
      <c r="C52" s="144">
        <v>1</v>
      </c>
      <c r="D52" s="144">
        <v>0</v>
      </c>
      <c r="E52" s="144">
        <v>0</v>
      </c>
      <c r="F52" s="145" t="s">
        <v>325</v>
      </c>
      <c r="G52" s="144" t="s">
        <v>1</v>
      </c>
      <c r="H52" s="144" t="s">
        <v>2</v>
      </c>
      <c r="I52" s="144" t="s">
        <v>121</v>
      </c>
      <c r="J52" s="146" t="s">
        <v>326</v>
      </c>
      <c r="K52" s="146" t="s">
        <v>327</v>
      </c>
      <c r="L52" s="146" t="s">
        <v>328</v>
      </c>
      <c r="M52" s="147" t="s">
        <v>4</v>
      </c>
      <c r="N52" s="147" t="s">
        <v>14</v>
      </c>
      <c r="O52" s="148">
        <v>44900</v>
      </c>
      <c r="P52" s="149" t="s">
        <v>17</v>
      </c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4"/>
      <c r="AB52" s="162" t="s">
        <v>329</v>
      </c>
      <c r="AC52" s="163" t="s">
        <v>330</v>
      </c>
      <c r="AD52" s="163" t="s">
        <v>331</v>
      </c>
      <c r="AE52" s="144" t="s">
        <v>3</v>
      </c>
      <c r="AF52" s="168">
        <v>0</v>
      </c>
      <c r="AG52" s="168">
        <v>60000</v>
      </c>
      <c r="AH52" s="151" t="s">
        <v>6</v>
      </c>
      <c r="AI52" s="144" t="s">
        <v>105</v>
      </c>
      <c r="AJ52" s="144" t="s">
        <v>4</v>
      </c>
      <c r="AK52" s="144" t="s">
        <v>105</v>
      </c>
      <c r="AL52" s="144" t="s">
        <v>105</v>
      </c>
      <c r="AM52" s="144" t="s">
        <v>106</v>
      </c>
      <c r="AN52" s="159"/>
      <c r="AO52" s="145" t="s">
        <v>332</v>
      </c>
      <c r="AP52" s="144" t="s">
        <v>105</v>
      </c>
      <c r="AQ52" s="144" t="s">
        <v>105</v>
      </c>
      <c r="AR52" s="144" t="s">
        <v>5851</v>
      </c>
      <c r="AS52" s="144"/>
      <c r="AT52" s="144"/>
      <c r="AU52" s="144"/>
      <c r="AV52" s="144"/>
      <c r="AW52" s="144"/>
      <c r="AX52" s="148"/>
      <c r="AY52" s="149"/>
      <c r="AZ52" s="144"/>
      <c r="BA52" s="144"/>
      <c r="BB52" s="152" t="s">
        <v>5852</v>
      </c>
      <c r="BC52" s="153" t="str">
        <f t="shared" si="1"/>
        <v/>
      </c>
      <c r="BD52" s="173"/>
      <c r="DP52" s="140"/>
    </row>
    <row r="53" spans="1:120" s="107" customFormat="1" ht="15" customHeight="1" x14ac:dyDescent="0.25">
      <c r="A53" s="144">
        <v>40</v>
      </c>
      <c r="B53" s="144" t="s">
        <v>99</v>
      </c>
      <c r="C53" s="144">
        <v>1</v>
      </c>
      <c r="D53" s="144">
        <v>0</v>
      </c>
      <c r="E53" s="144">
        <v>0</v>
      </c>
      <c r="F53" s="145" t="s">
        <v>338</v>
      </c>
      <c r="G53" s="144" t="s">
        <v>1</v>
      </c>
      <c r="H53" s="144" t="s">
        <v>2</v>
      </c>
      <c r="I53" s="144" t="s">
        <v>12</v>
      </c>
      <c r="J53" s="146" t="s">
        <v>342</v>
      </c>
      <c r="K53" s="146" t="s">
        <v>343</v>
      </c>
      <c r="L53" s="146" t="s">
        <v>344</v>
      </c>
      <c r="M53" s="147" t="s">
        <v>4</v>
      </c>
      <c r="N53" s="147" t="s">
        <v>5</v>
      </c>
      <c r="O53" s="148">
        <v>44900</v>
      </c>
      <c r="P53" s="149" t="s">
        <v>24</v>
      </c>
      <c r="Q53" s="149" t="s">
        <v>24</v>
      </c>
      <c r="R53" s="149" t="s">
        <v>24</v>
      </c>
      <c r="S53" s="149" t="s">
        <v>24</v>
      </c>
      <c r="T53" s="149" t="s">
        <v>24</v>
      </c>
      <c r="U53" s="149" t="s">
        <v>24</v>
      </c>
      <c r="V53" s="149" t="s">
        <v>24</v>
      </c>
      <c r="W53" s="149" t="s">
        <v>24</v>
      </c>
      <c r="X53" s="149" t="s">
        <v>24</v>
      </c>
      <c r="Y53" s="149" t="s">
        <v>24</v>
      </c>
      <c r="Z53" s="149" t="s">
        <v>24</v>
      </c>
      <c r="AA53" s="144"/>
      <c r="AB53" s="146" t="s">
        <v>342</v>
      </c>
      <c r="AC53" s="146" t="s">
        <v>343</v>
      </c>
      <c r="AD53" s="146" t="s">
        <v>344</v>
      </c>
      <c r="AE53" s="144" t="s">
        <v>12</v>
      </c>
      <c r="AF53" s="150">
        <v>38700</v>
      </c>
      <c r="AG53" s="150">
        <v>60000</v>
      </c>
      <c r="AH53" s="151" t="s">
        <v>6</v>
      </c>
      <c r="AI53" s="144" t="s">
        <v>105</v>
      </c>
      <c r="AJ53" s="144" t="s">
        <v>4</v>
      </c>
      <c r="AK53" s="144" t="s">
        <v>105</v>
      </c>
      <c r="AL53" s="144" t="s">
        <v>105</v>
      </c>
      <c r="AM53" s="144" t="s">
        <v>106</v>
      </c>
      <c r="AN53" s="144"/>
      <c r="AO53" s="145" t="s">
        <v>345</v>
      </c>
      <c r="AP53" s="144" t="s">
        <v>105</v>
      </c>
      <c r="AQ53" s="144" t="s">
        <v>105</v>
      </c>
      <c r="AR53" s="144" t="s">
        <v>5851</v>
      </c>
      <c r="AS53" s="144"/>
      <c r="AT53" s="144"/>
      <c r="AU53" s="144"/>
      <c r="AV53" s="144"/>
      <c r="AW53" s="144"/>
      <c r="AX53" s="148"/>
      <c r="AY53" s="149"/>
      <c r="AZ53" s="144"/>
      <c r="BA53" s="144"/>
      <c r="BB53" s="152" t="s">
        <v>5855</v>
      </c>
      <c r="BC53" s="153" t="str">
        <f t="shared" si="1"/>
        <v/>
      </c>
      <c r="BD53" s="173"/>
      <c r="DP53" s="140"/>
    </row>
    <row r="54" spans="1:120" s="107" customFormat="1" ht="15" customHeight="1" x14ac:dyDescent="0.25">
      <c r="A54" s="144">
        <v>41</v>
      </c>
      <c r="B54" s="144" t="s">
        <v>99</v>
      </c>
      <c r="C54" s="144">
        <v>1</v>
      </c>
      <c r="D54" s="144">
        <v>0</v>
      </c>
      <c r="E54" s="144">
        <v>0</v>
      </c>
      <c r="F54" s="145" t="s">
        <v>346</v>
      </c>
      <c r="G54" s="144" t="s">
        <v>1</v>
      </c>
      <c r="H54" s="144" t="s">
        <v>2</v>
      </c>
      <c r="I54" s="144" t="s">
        <v>12</v>
      </c>
      <c r="J54" s="146" t="s">
        <v>347</v>
      </c>
      <c r="K54" s="146" t="s">
        <v>348</v>
      </c>
      <c r="L54" s="146" t="s">
        <v>349</v>
      </c>
      <c r="M54" s="147" t="s">
        <v>4</v>
      </c>
      <c r="N54" s="147" t="s">
        <v>5</v>
      </c>
      <c r="O54" s="148">
        <v>44900</v>
      </c>
      <c r="P54" s="149" t="s">
        <v>24</v>
      </c>
      <c r="Q54" s="149" t="s">
        <v>24</v>
      </c>
      <c r="R54" s="149" t="s">
        <v>24</v>
      </c>
      <c r="S54" s="149" t="s">
        <v>24</v>
      </c>
      <c r="T54" s="149" t="s">
        <v>24</v>
      </c>
      <c r="U54" s="149" t="s">
        <v>24</v>
      </c>
      <c r="V54" s="149" t="s">
        <v>24</v>
      </c>
      <c r="W54" s="149" t="s">
        <v>24</v>
      </c>
      <c r="X54" s="149" t="s">
        <v>24</v>
      </c>
      <c r="Y54" s="149" t="s">
        <v>24</v>
      </c>
      <c r="Z54" s="149" t="s">
        <v>24</v>
      </c>
      <c r="AA54" s="144"/>
      <c r="AB54" s="146" t="s">
        <v>347</v>
      </c>
      <c r="AC54" s="146" t="s">
        <v>348</v>
      </c>
      <c r="AD54" s="146" t="s">
        <v>349</v>
      </c>
      <c r="AE54" s="144" t="s">
        <v>12</v>
      </c>
      <c r="AF54" s="150">
        <v>21400</v>
      </c>
      <c r="AG54" s="150">
        <v>51400</v>
      </c>
      <c r="AH54" s="151" t="s">
        <v>6</v>
      </c>
      <c r="AI54" s="144" t="s">
        <v>105</v>
      </c>
      <c r="AJ54" s="144" t="s">
        <v>4</v>
      </c>
      <c r="AK54" s="144" t="s">
        <v>105</v>
      </c>
      <c r="AL54" s="144" t="s">
        <v>105</v>
      </c>
      <c r="AM54" s="144" t="s">
        <v>106</v>
      </c>
      <c r="AN54" s="144"/>
      <c r="AO54" s="145" t="s">
        <v>350</v>
      </c>
      <c r="AP54" s="144" t="s">
        <v>105</v>
      </c>
      <c r="AQ54" s="144" t="s">
        <v>105</v>
      </c>
      <c r="AR54" s="144" t="s">
        <v>5851</v>
      </c>
      <c r="AS54" s="144"/>
      <c r="AT54" s="144"/>
      <c r="AU54" s="144"/>
      <c r="AV54" s="144"/>
      <c r="AW54" s="144"/>
      <c r="AX54" s="148"/>
      <c r="AY54" s="149"/>
      <c r="AZ54" s="144"/>
      <c r="BA54" s="144"/>
      <c r="BB54" s="152" t="s">
        <v>5855</v>
      </c>
      <c r="BC54" s="153" t="str">
        <f t="shared" si="1"/>
        <v/>
      </c>
      <c r="BD54" s="173"/>
      <c r="DP54" s="140"/>
    </row>
    <row r="55" spans="1:120" s="107" customFormat="1" ht="15" hidden="1" customHeight="1" x14ac:dyDescent="0.25">
      <c r="A55" s="144">
        <v>42</v>
      </c>
      <c r="B55" s="144" t="s">
        <v>99</v>
      </c>
      <c r="C55" s="144">
        <v>1</v>
      </c>
      <c r="D55" s="144">
        <v>0</v>
      </c>
      <c r="E55" s="144">
        <v>0</v>
      </c>
      <c r="F55" s="145" t="s">
        <v>351</v>
      </c>
      <c r="G55" s="144" t="s">
        <v>1</v>
      </c>
      <c r="H55" s="144" t="s">
        <v>2</v>
      </c>
      <c r="I55" s="144" t="s">
        <v>121</v>
      </c>
      <c r="J55" s="146" t="s">
        <v>352</v>
      </c>
      <c r="K55" s="146" t="s">
        <v>353</v>
      </c>
      <c r="L55" s="146" t="s">
        <v>354</v>
      </c>
      <c r="M55" s="147" t="s">
        <v>4</v>
      </c>
      <c r="N55" s="147" t="s">
        <v>14</v>
      </c>
      <c r="O55" s="148">
        <v>44900</v>
      </c>
      <c r="P55" s="149" t="s">
        <v>17</v>
      </c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4"/>
      <c r="AB55" s="162" t="s">
        <v>5870</v>
      </c>
      <c r="AC55" s="163" t="s">
        <v>356</v>
      </c>
      <c r="AD55" s="163" t="s">
        <v>357</v>
      </c>
      <c r="AE55" s="144" t="s">
        <v>3</v>
      </c>
      <c r="AF55" s="150">
        <v>26300</v>
      </c>
      <c r="AG55" s="150">
        <v>56300</v>
      </c>
      <c r="AH55" s="151" t="s">
        <v>6</v>
      </c>
      <c r="AI55" s="144" t="s">
        <v>105</v>
      </c>
      <c r="AJ55" s="144" t="s">
        <v>4</v>
      </c>
      <c r="AK55" s="144" t="s">
        <v>105</v>
      </c>
      <c r="AL55" s="144" t="s">
        <v>17</v>
      </c>
      <c r="AM55" s="144" t="s">
        <v>74</v>
      </c>
      <c r="AN55" s="161" t="s">
        <v>5871</v>
      </c>
      <c r="AO55" s="145" t="s">
        <v>358</v>
      </c>
      <c r="AP55" s="144"/>
      <c r="AQ55" s="144"/>
      <c r="AR55" s="144"/>
      <c r="AS55" s="144"/>
      <c r="AT55" s="144"/>
      <c r="AU55" s="144"/>
      <c r="AV55" s="144"/>
      <c r="AW55" s="144"/>
      <c r="AX55" s="148"/>
      <c r="AY55" s="149"/>
      <c r="AZ55" s="144"/>
      <c r="BA55" s="144"/>
      <c r="BB55" s="152"/>
      <c r="BC55" s="153" t="str">
        <f t="shared" si="1"/>
        <v/>
      </c>
      <c r="BD55" s="173"/>
      <c r="DP55" s="140"/>
    </row>
    <row r="56" spans="1:120" s="107" customFormat="1" ht="15" hidden="1" customHeight="1" x14ac:dyDescent="0.25">
      <c r="A56" s="144">
        <v>43</v>
      </c>
      <c r="B56" s="144" t="s">
        <v>99</v>
      </c>
      <c r="C56" s="144">
        <v>1</v>
      </c>
      <c r="D56" s="144">
        <v>0</v>
      </c>
      <c r="E56" s="144">
        <v>0</v>
      </c>
      <c r="F56" s="145" t="s">
        <v>359</v>
      </c>
      <c r="G56" s="144" t="s">
        <v>1</v>
      </c>
      <c r="H56" s="144" t="s">
        <v>2</v>
      </c>
      <c r="I56" s="144" t="s">
        <v>360</v>
      </c>
      <c r="J56" s="145" t="s">
        <v>139</v>
      </c>
      <c r="K56" s="146" t="s">
        <v>139</v>
      </c>
      <c r="L56" s="146" t="s">
        <v>139</v>
      </c>
      <c r="M56" s="147" t="s">
        <v>17</v>
      </c>
      <c r="N56" s="147" t="s">
        <v>17</v>
      </c>
      <c r="O56" s="148">
        <v>44900</v>
      </c>
      <c r="P56" s="149" t="s">
        <v>139</v>
      </c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4"/>
      <c r="AB56" s="145" t="s">
        <v>139</v>
      </c>
      <c r="AC56" s="145" t="s">
        <v>139</v>
      </c>
      <c r="AD56" s="145" t="s">
        <v>139</v>
      </c>
      <c r="AE56" s="144"/>
      <c r="AF56" s="168"/>
      <c r="AG56" s="168"/>
      <c r="AH56" s="151"/>
      <c r="AI56" s="144"/>
      <c r="AJ56" s="144" t="s">
        <v>139</v>
      </c>
      <c r="AK56" s="144"/>
      <c r="AL56" s="144"/>
      <c r="AM56" s="144"/>
      <c r="AN56" s="144"/>
      <c r="AO56" s="145"/>
      <c r="AP56" s="144"/>
      <c r="AQ56" s="144"/>
      <c r="AR56" s="144"/>
      <c r="AS56" s="144"/>
      <c r="AT56" s="144"/>
      <c r="AU56" s="144"/>
      <c r="AV56" s="144"/>
      <c r="AW56" s="144"/>
      <c r="AX56" s="144"/>
      <c r="AY56" s="149"/>
      <c r="AZ56" s="144"/>
      <c r="BA56" s="144"/>
      <c r="BB56" s="152"/>
      <c r="BC56" s="153" t="str">
        <f t="shared" si="1"/>
        <v/>
      </c>
      <c r="BD56" s="173"/>
      <c r="DP56" s="140"/>
    </row>
    <row r="57" spans="1:120" s="107" customFormat="1" ht="15" hidden="1" customHeight="1" x14ac:dyDescent="0.25">
      <c r="A57" s="144">
        <v>44</v>
      </c>
      <c r="B57" s="144" t="s">
        <v>99</v>
      </c>
      <c r="C57" s="144">
        <v>1</v>
      </c>
      <c r="D57" s="144">
        <v>0</v>
      </c>
      <c r="E57" s="144">
        <v>0</v>
      </c>
      <c r="F57" s="145" t="s">
        <v>361</v>
      </c>
      <c r="G57" s="144" t="s">
        <v>1</v>
      </c>
      <c r="H57" s="144" t="s">
        <v>2</v>
      </c>
      <c r="I57" s="144" t="s">
        <v>12</v>
      </c>
      <c r="J57" s="146" t="s">
        <v>362</v>
      </c>
      <c r="K57" s="146" t="s">
        <v>363</v>
      </c>
      <c r="L57" s="146" t="s">
        <v>364</v>
      </c>
      <c r="M57" s="147" t="s">
        <v>4</v>
      </c>
      <c r="N57" s="147" t="s">
        <v>17</v>
      </c>
      <c r="O57" s="148">
        <v>44900</v>
      </c>
      <c r="P57" s="149" t="s">
        <v>139</v>
      </c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4"/>
      <c r="AB57" s="146" t="s">
        <v>362</v>
      </c>
      <c r="AC57" s="145" t="s">
        <v>363</v>
      </c>
      <c r="AD57" s="145" t="s">
        <v>364</v>
      </c>
      <c r="AE57" s="144" t="s">
        <v>12</v>
      </c>
      <c r="AF57" s="150">
        <v>35700</v>
      </c>
      <c r="AG57" s="150">
        <v>60000</v>
      </c>
      <c r="AH57" s="151"/>
      <c r="AI57" s="144"/>
      <c r="AJ57" s="144" t="s">
        <v>139</v>
      </c>
      <c r="AK57" s="144"/>
      <c r="AL57" s="144"/>
      <c r="AM57" s="144"/>
      <c r="AN57" s="144"/>
      <c r="AO57" s="145"/>
      <c r="AP57" s="144"/>
      <c r="AQ57" s="144"/>
      <c r="AR57" s="144"/>
      <c r="AS57" s="144"/>
      <c r="AT57" s="144"/>
      <c r="AU57" s="144"/>
      <c r="AV57" s="144"/>
      <c r="AW57" s="144"/>
      <c r="AX57" s="144"/>
      <c r="AY57" s="149"/>
      <c r="AZ57" s="144"/>
      <c r="BA57" s="144"/>
      <c r="BB57" s="152"/>
      <c r="BC57" s="153" t="str">
        <f t="shared" si="1"/>
        <v/>
      </c>
      <c r="BD57" s="173"/>
      <c r="DP57" s="140"/>
    </row>
    <row r="58" spans="1:120" s="107" customFormat="1" ht="15" hidden="1" customHeight="1" x14ac:dyDescent="0.25">
      <c r="A58" s="144">
        <v>45</v>
      </c>
      <c r="B58" s="144" t="s">
        <v>99</v>
      </c>
      <c r="C58" s="144">
        <v>1</v>
      </c>
      <c r="D58" s="144">
        <v>0</v>
      </c>
      <c r="E58" s="144">
        <v>0</v>
      </c>
      <c r="F58" s="145" t="s">
        <v>365</v>
      </c>
      <c r="G58" s="144" t="s">
        <v>1</v>
      </c>
      <c r="H58" s="144" t="s">
        <v>366</v>
      </c>
      <c r="I58" s="144"/>
      <c r="J58" s="146" t="s">
        <v>139</v>
      </c>
      <c r="K58" s="146"/>
      <c r="L58" s="146"/>
      <c r="M58" s="147"/>
      <c r="N58" s="147" t="s">
        <v>17</v>
      </c>
      <c r="O58" s="148">
        <v>44900</v>
      </c>
      <c r="P58" s="149" t="s">
        <v>139</v>
      </c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4"/>
      <c r="AB58" s="146" t="s">
        <v>367</v>
      </c>
      <c r="AC58" s="145" t="s">
        <v>368</v>
      </c>
      <c r="AD58" s="145" t="s">
        <v>369</v>
      </c>
      <c r="AE58" s="144" t="s">
        <v>12</v>
      </c>
      <c r="AF58" s="150">
        <v>17700</v>
      </c>
      <c r="AG58" s="150">
        <v>47700</v>
      </c>
      <c r="AH58" s="151"/>
      <c r="AI58" s="144"/>
      <c r="AJ58" s="144" t="s">
        <v>139</v>
      </c>
      <c r="AK58" s="144"/>
      <c r="AL58" s="144"/>
      <c r="AM58" s="144"/>
      <c r="AN58" s="160" t="s">
        <v>5872</v>
      </c>
      <c r="AO58" s="145" t="s">
        <v>370</v>
      </c>
      <c r="AP58" s="144"/>
      <c r="AQ58" s="144"/>
      <c r="AR58" s="144"/>
      <c r="AS58" s="144"/>
      <c r="AT58" s="144"/>
      <c r="AU58" s="144"/>
      <c r="AV58" s="144"/>
      <c r="AW58" s="144"/>
      <c r="AX58" s="144"/>
      <c r="AY58" s="149"/>
      <c r="AZ58" s="144"/>
      <c r="BA58" s="144"/>
      <c r="BB58" s="152"/>
      <c r="BC58" s="153" t="str">
        <f t="shared" si="1"/>
        <v/>
      </c>
      <c r="BD58" s="173"/>
      <c r="DP58" s="140"/>
    </row>
    <row r="59" spans="1:120" s="107" customFormat="1" ht="15" customHeight="1" x14ac:dyDescent="0.25">
      <c r="A59" s="144">
        <v>46</v>
      </c>
      <c r="B59" s="144" t="s">
        <v>99</v>
      </c>
      <c r="C59" s="144">
        <v>1</v>
      </c>
      <c r="D59" s="144">
        <v>0</v>
      </c>
      <c r="E59" s="144">
        <v>0</v>
      </c>
      <c r="F59" s="145" t="s">
        <v>371</v>
      </c>
      <c r="G59" s="144" t="s">
        <v>1</v>
      </c>
      <c r="H59" s="144" t="s">
        <v>2</v>
      </c>
      <c r="I59" s="144" t="s">
        <v>12</v>
      </c>
      <c r="J59" s="146" t="s">
        <v>372</v>
      </c>
      <c r="K59" s="146" t="s">
        <v>373</v>
      </c>
      <c r="L59" s="146" t="s">
        <v>374</v>
      </c>
      <c r="M59" s="147" t="s">
        <v>4</v>
      </c>
      <c r="N59" s="147" t="s">
        <v>5</v>
      </c>
      <c r="O59" s="148">
        <v>44900</v>
      </c>
      <c r="P59" s="149" t="s">
        <v>24</v>
      </c>
      <c r="Q59" s="149" t="s">
        <v>24</v>
      </c>
      <c r="R59" s="149" t="s">
        <v>24</v>
      </c>
      <c r="S59" s="149" t="s">
        <v>24</v>
      </c>
      <c r="T59" s="149" t="s">
        <v>24</v>
      </c>
      <c r="U59" s="149" t="s">
        <v>24</v>
      </c>
      <c r="V59" s="149" t="s">
        <v>24</v>
      </c>
      <c r="W59" s="149" t="s">
        <v>24</v>
      </c>
      <c r="X59" s="149" t="s">
        <v>24</v>
      </c>
      <c r="Y59" s="149" t="s">
        <v>24</v>
      </c>
      <c r="Z59" s="149" t="s">
        <v>24</v>
      </c>
      <c r="AA59" s="144"/>
      <c r="AB59" s="146" t="s">
        <v>372</v>
      </c>
      <c r="AC59" s="145" t="s">
        <v>373</v>
      </c>
      <c r="AD59" s="145" t="s">
        <v>374</v>
      </c>
      <c r="AE59" s="144" t="s">
        <v>12</v>
      </c>
      <c r="AF59" s="150">
        <v>27300</v>
      </c>
      <c r="AG59" s="150">
        <v>57300</v>
      </c>
      <c r="AH59" s="151" t="s">
        <v>6</v>
      </c>
      <c r="AI59" s="144" t="s">
        <v>105</v>
      </c>
      <c r="AJ59" s="144" t="s">
        <v>4</v>
      </c>
      <c r="AK59" s="144" t="s">
        <v>105</v>
      </c>
      <c r="AL59" s="144" t="s">
        <v>105</v>
      </c>
      <c r="AM59" s="144" t="s">
        <v>106</v>
      </c>
      <c r="AN59" s="144"/>
      <c r="AO59" s="145" t="s">
        <v>375</v>
      </c>
      <c r="AP59" s="144" t="s">
        <v>105</v>
      </c>
      <c r="AQ59" s="144" t="s">
        <v>105</v>
      </c>
      <c r="AR59" s="144" t="s">
        <v>5851</v>
      </c>
      <c r="AS59" s="144"/>
      <c r="AT59" s="144"/>
      <c r="AU59" s="144"/>
      <c r="AV59" s="144"/>
      <c r="AW59" s="144"/>
      <c r="AX59" s="148"/>
      <c r="AY59" s="149"/>
      <c r="AZ59" s="144"/>
      <c r="BA59" s="144"/>
      <c r="BB59" s="152" t="s">
        <v>5855</v>
      </c>
      <c r="BC59" s="153" t="str">
        <f t="shared" si="1"/>
        <v/>
      </c>
      <c r="BD59" s="173"/>
      <c r="DP59" s="140"/>
    </row>
    <row r="60" spans="1:120" s="107" customFormat="1" ht="15" hidden="1" customHeight="1" x14ac:dyDescent="0.25">
      <c r="A60" s="144">
        <v>47</v>
      </c>
      <c r="B60" s="144" t="s">
        <v>99</v>
      </c>
      <c r="C60" s="144">
        <v>1</v>
      </c>
      <c r="D60" s="144">
        <v>0</v>
      </c>
      <c r="E60" s="144">
        <v>0</v>
      </c>
      <c r="F60" s="145" t="s">
        <v>376</v>
      </c>
      <c r="G60" s="144" t="s">
        <v>1</v>
      </c>
      <c r="H60" s="144" t="s">
        <v>2</v>
      </c>
      <c r="I60" s="144" t="s">
        <v>12</v>
      </c>
      <c r="J60" s="166" t="s">
        <v>377</v>
      </c>
      <c r="K60" s="146" t="s">
        <v>378</v>
      </c>
      <c r="L60" s="146" t="s">
        <v>379</v>
      </c>
      <c r="M60" s="147" t="s">
        <v>17</v>
      </c>
      <c r="N60" s="147" t="s">
        <v>17</v>
      </c>
      <c r="O60" s="148">
        <v>44900</v>
      </c>
      <c r="P60" s="149" t="s">
        <v>139</v>
      </c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4"/>
      <c r="AB60" s="166" t="s">
        <v>377</v>
      </c>
      <c r="AC60" s="145" t="s">
        <v>378</v>
      </c>
      <c r="AD60" s="145" t="s">
        <v>379</v>
      </c>
      <c r="AE60" s="144" t="s">
        <v>12</v>
      </c>
      <c r="AF60" s="168">
        <v>15800</v>
      </c>
      <c r="AG60" s="168">
        <f>AF60+30000</f>
        <v>45800</v>
      </c>
      <c r="AH60" s="151"/>
      <c r="AI60" s="144"/>
      <c r="AJ60" s="144" t="s">
        <v>139</v>
      </c>
      <c r="AK60" s="144"/>
      <c r="AL60" s="144"/>
      <c r="AM60" s="144"/>
      <c r="AN60" s="144"/>
      <c r="AO60" s="145"/>
      <c r="AP60" s="144"/>
      <c r="AQ60" s="144"/>
      <c r="AR60" s="144"/>
      <c r="AS60" s="144"/>
      <c r="AT60" s="144"/>
      <c r="AU60" s="144"/>
      <c r="AV60" s="144"/>
      <c r="AW60" s="144"/>
      <c r="AX60" s="144"/>
      <c r="AY60" s="149"/>
      <c r="AZ60" s="144"/>
      <c r="BA60" s="144"/>
      <c r="BB60" s="152"/>
      <c r="BC60" s="153" t="str">
        <f t="shared" si="1"/>
        <v/>
      </c>
      <c r="BD60" s="173"/>
      <c r="DP60" s="140"/>
    </row>
    <row r="61" spans="1:120" s="107" customFormat="1" ht="15" hidden="1" customHeight="1" x14ac:dyDescent="0.25">
      <c r="A61" s="144">
        <v>48</v>
      </c>
      <c r="B61" s="144" t="s">
        <v>99</v>
      </c>
      <c r="C61" s="144">
        <v>1</v>
      </c>
      <c r="D61" s="144">
        <v>0</v>
      </c>
      <c r="E61" s="144">
        <v>0</v>
      </c>
      <c r="F61" s="145" t="s">
        <v>387</v>
      </c>
      <c r="G61" s="144" t="s">
        <v>1</v>
      </c>
      <c r="H61" s="144" t="s">
        <v>2</v>
      </c>
      <c r="I61" s="144" t="s">
        <v>12</v>
      </c>
      <c r="J61" s="146" t="s">
        <v>388</v>
      </c>
      <c r="K61" s="146" t="s">
        <v>389</v>
      </c>
      <c r="L61" s="146" t="s">
        <v>390</v>
      </c>
      <c r="M61" s="147" t="s">
        <v>17</v>
      </c>
      <c r="N61" s="147" t="s">
        <v>17</v>
      </c>
      <c r="O61" s="148">
        <v>44900</v>
      </c>
      <c r="P61" s="149" t="s">
        <v>139</v>
      </c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4"/>
      <c r="AB61" s="146" t="s">
        <v>388</v>
      </c>
      <c r="AC61" s="145" t="s">
        <v>389</v>
      </c>
      <c r="AD61" s="145" t="s">
        <v>390</v>
      </c>
      <c r="AE61" s="144" t="s">
        <v>12</v>
      </c>
      <c r="AF61" s="168">
        <v>17500</v>
      </c>
      <c r="AG61" s="168">
        <f>AF61+30000</f>
        <v>47500</v>
      </c>
      <c r="AH61" s="151"/>
      <c r="AI61" s="144"/>
      <c r="AJ61" s="144" t="s">
        <v>139</v>
      </c>
      <c r="AK61" s="144"/>
      <c r="AL61" s="144"/>
      <c r="AM61" s="144"/>
      <c r="AN61" s="144"/>
      <c r="AO61" s="145"/>
      <c r="AP61" s="144"/>
      <c r="AQ61" s="144"/>
      <c r="AR61" s="144"/>
      <c r="AS61" s="144"/>
      <c r="AT61" s="144"/>
      <c r="AU61" s="144"/>
      <c r="AV61" s="144"/>
      <c r="AW61" s="144"/>
      <c r="AX61" s="144"/>
      <c r="AY61" s="149"/>
      <c r="AZ61" s="144"/>
      <c r="BA61" s="144"/>
      <c r="BB61" s="152"/>
      <c r="BC61" s="153" t="str">
        <f t="shared" si="1"/>
        <v/>
      </c>
      <c r="BD61" s="173"/>
      <c r="DP61" s="140"/>
    </row>
    <row r="62" spans="1:120" s="107" customFormat="1" ht="15" hidden="1" customHeight="1" x14ac:dyDescent="0.25">
      <c r="A62" s="144">
        <v>49</v>
      </c>
      <c r="B62" s="144" t="s">
        <v>99</v>
      </c>
      <c r="C62" s="144">
        <v>1</v>
      </c>
      <c r="D62" s="144">
        <v>0</v>
      </c>
      <c r="E62" s="144">
        <v>0</v>
      </c>
      <c r="F62" s="145" t="s">
        <v>391</v>
      </c>
      <c r="G62" s="144" t="s">
        <v>1</v>
      </c>
      <c r="H62" s="144" t="s">
        <v>2</v>
      </c>
      <c r="I62" s="144" t="s">
        <v>12</v>
      </c>
      <c r="J62" s="146" t="s">
        <v>392</v>
      </c>
      <c r="K62" s="146" t="s">
        <v>393</v>
      </c>
      <c r="L62" s="146" t="s">
        <v>394</v>
      </c>
      <c r="M62" s="147" t="s">
        <v>17</v>
      </c>
      <c r="N62" s="147" t="s">
        <v>17</v>
      </c>
      <c r="O62" s="148">
        <v>44900</v>
      </c>
      <c r="P62" s="149" t="s">
        <v>139</v>
      </c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4"/>
      <c r="AB62" s="146" t="s">
        <v>392</v>
      </c>
      <c r="AC62" s="145" t="s">
        <v>393</v>
      </c>
      <c r="AD62" s="145" t="s">
        <v>394</v>
      </c>
      <c r="AE62" s="144" t="s">
        <v>12</v>
      </c>
      <c r="AF62" s="168">
        <v>24200</v>
      </c>
      <c r="AG62" s="168">
        <f>AF62+30000</f>
        <v>54200</v>
      </c>
      <c r="AH62" s="151"/>
      <c r="AI62" s="144"/>
      <c r="AJ62" s="144" t="s">
        <v>139</v>
      </c>
      <c r="AK62" s="144"/>
      <c r="AL62" s="144"/>
      <c r="AM62" s="144"/>
      <c r="AN62" s="144"/>
      <c r="AO62" s="145"/>
      <c r="AP62" s="144"/>
      <c r="AQ62" s="144"/>
      <c r="AR62" s="144"/>
      <c r="AS62" s="144"/>
      <c r="AT62" s="144"/>
      <c r="AU62" s="144"/>
      <c r="AV62" s="144"/>
      <c r="AW62" s="144"/>
      <c r="AX62" s="144"/>
      <c r="AY62" s="149"/>
      <c r="AZ62" s="144"/>
      <c r="BA62" s="144"/>
      <c r="BB62" s="152"/>
      <c r="BC62" s="153" t="str">
        <f t="shared" si="1"/>
        <v/>
      </c>
      <c r="BD62" s="173"/>
      <c r="DP62" s="140"/>
    </row>
    <row r="63" spans="1:120" s="107" customFormat="1" ht="15" customHeight="1" x14ac:dyDescent="0.25">
      <c r="A63" s="144">
        <v>50</v>
      </c>
      <c r="B63" s="144" t="s">
        <v>99</v>
      </c>
      <c r="C63" s="144">
        <v>1</v>
      </c>
      <c r="D63" s="144">
        <v>0</v>
      </c>
      <c r="E63" s="144">
        <v>0</v>
      </c>
      <c r="F63" s="145" t="s">
        <v>395</v>
      </c>
      <c r="G63" s="144" t="s">
        <v>1</v>
      </c>
      <c r="H63" s="144" t="s">
        <v>2</v>
      </c>
      <c r="I63" s="144" t="s">
        <v>12</v>
      </c>
      <c r="J63" s="146" t="s">
        <v>396</v>
      </c>
      <c r="K63" s="146" t="s">
        <v>397</v>
      </c>
      <c r="L63" s="146" t="s">
        <v>398</v>
      </c>
      <c r="M63" s="147" t="s">
        <v>4</v>
      </c>
      <c r="N63" s="147" t="s">
        <v>5</v>
      </c>
      <c r="O63" s="148">
        <v>44900</v>
      </c>
      <c r="P63" s="149" t="s">
        <v>24</v>
      </c>
      <c r="Q63" s="149" t="s">
        <v>24</v>
      </c>
      <c r="R63" s="149" t="s">
        <v>24</v>
      </c>
      <c r="S63" s="149" t="s">
        <v>24</v>
      </c>
      <c r="T63" s="149" t="s">
        <v>24</v>
      </c>
      <c r="U63" s="149" t="s">
        <v>24</v>
      </c>
      <c r="V63" s="149" t="s">
        <v>24</v>
      </c>
      <c r="W63" s="149" t="s">
        <v>24</v>
      </c>
      <c r="X63" s="149" t="s">
        <v>24</v>
      </c>
      <c r="Y63" s="149" t="s">
        <v>24</v>
      </c>
      <c r="Z63" s="149" t="s">
        <v>24</v>
      </c>
      <c r="AA63" s="144"/>
      <c r="AB63" s="146" t="s">
        <v>396</v>
      </c>
      <c r="AC63" s="146" t="s">
        <v>397</v>
      </c>
      <c r="AD63" s="146" t="s">
        <v>398</v>
      </c>
      <c r="AE63" s="144" t="s">
        <v>12</v>
      </c>
      <c r="AF63" s="168">
        <f>AG63-30000</f>
        <v>8500</v>
      </c>
      <c r="AG63" s="168">
        <v>38500</v>
      </c>
      <c r="AH63" s="151" t="s">
        <v>6</v>
      </c>
      <c r="AI63" s="144" t="s">
        <v>105</v>
      </c>
      <c r="AJ63" s="144" t="s">
        <v>4</v>
      </c>
      <c r="AK63" s="144" t="s">
        <v>105</v>
      </c>
      <c r="AL63" s="144" t="s">
        <v>105</v>
      </c>
      <c r="AM63" s="144" t="s">
        <v>106</v>
      </c>
      <c r="AN63" s="144"/>
      <c r="AO63" s="145" t="s">
        <v>399</v>
      </c>
      <c r="AP63" s="144" t="s">
        <v>105</v>
      </c>
      <c r="AQ63" s="144" t="s">
        <v>105</v>
      </c>
      <c r="AR63" s="144" t="s">
        <v>5851</v>
      </c>
      <c r="AS63" s="144"/>
      <c r="AT63" s="144"/>
      <c r="AU63" s="144"/>
      <c r="AV63" s="144"/>
      <c r="AW63" s="144"/>
      <c r="AX63" s="148"/>
      <c r="AY63" s="149"/>
      <c r="AZ63" s="144"/>
      <c r="BA63" s="144"/>
      <c r="BB63" s="152" t="s">
        <v>5850</v>
      </c>
      <c r="BC63" s="153"/>
      <c r="BD63" s="173"/>
      <c r="DP63" s="140"/>
    </row>
    <row r="64" spans="1:120" s="107" customFormat="1" ht="15" hidden="1" customHeight="1" x14ac:dyDescent="0.25">
      <c r="A64" s="144">
        <v>51</v>
      </c>
      <c r="B64" s="144" t="s">
        <v>99</v>
      </c>
      <c r="C64" s="144">
        <v>1</v>
      </c>
      <c r="D64" s="144">
        <v>0</v>
      </c>
      <c r="E64" s="144">
        <v>0</v>
      </c>
      <c r="F64" s="145" t="s">
        <v>400</v>
      </c>
      <c r="G64" s="144" t="s">
        <v>1</v>
      </c>
      <c r="H64" s="144" t="s">
        <v>2</v>
      </c>
      <c r="I64" s="144" t="s">
        <v>12</v>
      </c>
      <c r="J64" s="146" t="s">
        <v>401</v>
      </c>
      <c r="K64" s="146" t="s">
        <v>402</v>
      </c>
      <c r="L64" s="146" t="s">
        <v>403</v>
      </c>
      <c r="M64" s="147" t="s">
        <v>4</v>
      </c>
      <c r="N64" s="147" t="s">
        <v>5</v>
      </c>
      <c r="O64" s="148">
        <v>44900</v>
      </c>
      <c r="P64" s="149" t="s">
        <v>24</v>
      </c>
      <c r="Q64" s="149" t="s">
        <v>24</v>
      </c>
      <c r="R64" s="149" t="s">
        <v>24</v>
      </c>
      <c r="S64" s="149" t="s">
        <v>24</v>
      </c>
      <c r="T64" s="149" t="s">
        <v>24</v>
      </c>
      <c r="U64" s="149" t="s">
        <v>24</v>
      </c>
      <c r="V64" s="149" t="s">
        <v>24</v>
      </c>
      <c r="W64" s="149" t="s">
        <v>24</v>
      </c>
      <c r="X64" s="149" t="s">
        <v>24</v>
      </c>
      <c r="Y64" s="149" t="s">
        <v>24</v>
      </c>
      <c r="Z64" s="149" t="s">
        <v>24</v>
      </c>
      <c r="AA64" s="144"/>
      <c r="AB64" s="146" t="s">
        <v>401</v>
      </c>
      <c r="AC64" s="146" t="s">
        <v>402</v>
      </c>
      <c r="AD64" s="146" t="s">
        <v>403</v>
      </c>
      <c r="AE64" s="144" t="s">
        <v>12</v>
      </c>
      <c r="AF64" s="168">
        <f>AG64-30000</f>
        <v>18100</v>
      </c>
      <c r="AG64" s="168">
        <v>48100</v>
      </c>
      <c r="AH64" s="151" t="s">
        <v>6</v>
      </c>
      <c r="AI64" s="144" t="s">
        <v>105</v>
      </c>
      <c r="AJ64" s="144" t="s">
        <v>4</v>
      </c>
      <c r="AK64" s="144" t="s">
        <v>105</v>
      </c>
      <c r="AL64" s="144" t="s">
        <v>105</v>
      </c>
      <c r="AM64" s="144" t="s">
        <v>106</v>
      </c>
      <c r="AN64" s="144"/>
      <c r="AO64" s="145" t="s">
        <v>404</v>
      </c>
      <c r="AP64" s="144" t="s">
        <v>105</v>
      </c>
      <c r="AQ64" s="144" t="s">
        <v>105</v>
      </c>
      <c r="AR64" s="144" t="s">
        <v>105</v>
      </c>
      <c r="AS64" s="144" t="s">
        <v>105</v>
      </c>
      <c r="AT64" s="148">
        <v>44922</v>
      </c>
      <c r="AU64" s="144" t="s">
        <v>105</v>
      </c>
      <c r="AV64" s="144" t="s">
        <v>105</v>
      </c>
      <c r="AW64" s="144" t="s">
        <v>105</v>
      </c>
      <c r="AX64" s="148">
        <v>44924</v>
      </c>
      <c r="AY64" s="148">
        <v>44924</v>
      </c>
      <c r="AZ64" s="144" t="s">
        <v>220</v>
      </c>
      <c r="BA64" s="144" t="s">
        <v>1</v>
      </c>
      <c r="BB64" s="152" t="s">
        <v>105</v>
      </c>
      <c r="BC64" s="153">
        <f t="shared" ref="BC64:BC75" si="2">IF(AY64-ON64=0,"",AY64-O64)</f>
        <v>24</v>
      </c>
      <c r="BD64" s="173"/>
      <c r="DP64" s="140"/>
    </row>
    <row r="65" spans="1:120" s="107" customFormat="1" ht="15" customHeight="1" x14ac:dyDescent="0.25">
      <c r="A65" s="144">
        <v>52</v>
      </c>
      <c r="B65" s="144" t="s">
        <v>99</v>
      </c>
      <c r="C65" s="144">
        <v>1</v>
      </c>
      <c r="D65" s="144">
        <v>0</v>
      </c>
      <c r="E65" s="144">
        <v>0</v>
      </c>
      <c r="F65" s="145" t="s">
        <v>405</v>
      </c>
      <c r="G65" s="144" t="s">
        <v>1</v>
      </c>
      <c r="H65" s="144" t="s">
        <v>2</v>
      </c>
      <c r="I65" s="144" t="s">
        <v>121</v>
      </c>
      <c r="J65" s="146" t="s">
        <v>406</v>
      </c>
      <c r="K65" s="146" t="s">
        <v>407</v>
      </c>
      <c r="L65" s="146" t="s">
        <v>408</v>
      </c>
      <c r="M65" s="147" t="s">
        <v>4</v>
      </c>
      <c r="N65" s="147" t="s">
        <v>14</v>
      </c>
      <c r="O65" s="148">
        <v>44900</v>
      </c>
      <c r="P65" s="149" t="s">
        <v>17</v>
      </c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4"/>
      <c r="AB65" s="146" t="s">
        <v>409</v>
      </c>
      <c r="AC65" s="145" t="s">
        <v>410</v>
      </c>
      <c r="AD65" s="145" t="s">
        <v>411</v>
      </c>
      <c r="AE65" s="144" t="s">
        <v>3</v>
      </c>
      <c r="AF65" s="168">
        <v>18400</v>
      </c>
      <c r="AG65" s="168">
        <f>AF65+30000</f>
        <v>48400</v>
      </c>
      <c r="AH65" s="151" t="s">
        <v>6</v>
      </c>
      <c r="AI65" s="144" t="s">
        <v>105</v>
      </c>
      <c r="AJ65" s="144" t="s">
        <v>4</v>
      </c>
      <c r="AK65" s="144" t="s">
        <v>105</v>
      </c>
      <c r="AL65" s="144" t="s">
        <v>105</v>
      </c>
      <c r="AM65" s="144" t="s">
        <v>106</v>
      </c>
      <c r="AN65" s="144"/>
      <c r="AO65" s="145" t="s">
        <v>412</v>
      </c>
      <c r="AP65" s="144" t="s">
        <v>105</v>
      </c>
      <c r="AQ65" s="144" t="s">
        <v>105</v>
      </c>
      <c r="AR65" s="144" t="s">
        <v>5851</v>
      </c>
      <c r="AS65" s="144"/>
      <c r="AT65" s="144"/>
      <c r="AU65" s="144"/>
      <c r="AV65" s="144"/>
      <c r="AW65" s="144"/>
      <c r="AX65" s="148"/>
      <c r="AY65" s="149"/>
      <c r="AZ65" s="144"/>
      <c r="BA65" s="144"/>
      <c r="BB65" s="152" t="s">
        <v>5852</v>
      </c>
      <c r="BC65" s="153" t="str">
        <f t="shared" si="2"/>
        <v/>
      </c>
      <c r="BD65" s="173"/>
      <c r="DP65" s="140"/>
    </row>
    <row r="66" spans="1:120" s="107" customFormat="1" ht="15" hidden="1" customHeight="1" x14ac:dyDescent="0.25">
      <c r="A66" s="144">
        <v>53</v>
      </c>
      <c r="B66" s="144" t="s">
        <v>99</v>
      </c>
      <c r="C66" s="144">
        <v>1</v>
      </c>
      <c r="D66" s="144">
        <v>0</v>
      </c>
      <c r="E66" s="144">
        <v>0</v>
      </c>
      <c r="F66" s="145" t="s">
        <v>413</v>
      </c>
      <c r="G66" s="144" t="s">
        <v>1</v>
      </c>
      <c r="H66" s="144" t="s">
        <v>2</v>
      </c>
      <c r="I66" s="144" t="s">
        <v>121</v>
      </c>
      <c r="J66" s="146" t="s">
        <v>414</v>
      </c>
      <c r="K66" s="146" t="s">
        <v>415</v>
      </c>
      <c r="L66" s="146" t="s">
        <v>416</v>
      </c>
      <c r="M66" s="147" t="s">
        <v>4</v>
      </c>
      <c r="N66" s="147" t="s">
        <v>14</v>
      </c>
      <c r="O66" s="148">
        <v>44900</v>
      </c>
      <c r="P66" s="149" t="s">
        <v>17</v>
      </c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4"/>
      <c r="AB66" s="146" t="s">
        <v>409</v>
      </c>
      <c r="AC66" s="145" t="s">
        <v>410</v>
      </c>
      <c r="AD66" s="145" t="s">
        <v>411</v>
      </c>
      <c r="AE66" s="144" t="s">
        <v>3</v>
      </c>
      <c r="AF66" s="168">
        <v>13300</v>
      </c>
      <c r="AG66" s="168">
        <f>AF66+30000</f>
        <v>43300</v>
      </c>
      <c r="AH66" s="151"/>
      <c r="AI66" s="144"/>
      <c r="AJ66" s="144" t="s">
        <v>139</v>
      </c>
      <c r="AK66" s="144"/>
      <c r="AL66" s="144"/>
      <c r="AM66" s="144"/>
      <c r="AN66" s="144"/>
      <c r="AO66" s="145"/>
      <c r="AP66" s="144"/>
      <c r="AQ66" s="144"/>
      <c r="AR66" s="144"/>
      <c r="AS66" s="144"/>
      <c r="AT66" s="144"/>
      <c r="AU66" s="144"/>
      <c r="AV66" s="144"/>
      <c r="AW66" s="144"/>
      <c r="AX66" s="144"/>
      <c r="AY66" s="149"/>
      <c r="AZ66" s="144"/>
      <c r="BA66" s="144"/>
      <c r="BB66" s="152"/>
      <c r="BC66" s="153" t="str">
        <f t="shared" si="2"/>
        <v/>
      </c>
      <c r="BD66" s="173"/>
      <c r="DP66" s="140"/>
    </row>
    <row r="67" spans="1:120" s="107" customFormat="1" ht="15" hidden="1" customHeight="1" x14ac:dyDescent="0.25">
      <c r="A67" s="144">
        <v>54</v>
      </c>
      <c r="B67" s="144" t="s">
        <v>99</v>
      </c>
      <c r="C67" s="144">
        <v>1</v>
      </c>
      <c r="D67" s="144">
        <v>0</v>
      </c>
      <c r="E67" s="144">
        <v>0</v>
      </c>
      <c r="F67" s="145" t="s">
        <v>418</v>
      </c>
      <c r="G67" s="144" t="s">
        <v>1</v>
      </c>
      <c r="H67" s="144" t="s">
        <v>2</v>
      </c>
      <c r="I67" s="144" t="s">
        <v>12</v>
      </c>
      <c r="J67" s="146" t="s">
        <v>5873</v>
      </c>
      <c r="K67" s="146" t="s">
        <v>420</v>
      </c>
      <c r="L67" s="146" t="s">
        <v>421</v>
      </c>
      <c r="M67" s="147" t="s">
        <v>4</v>
      </c>
      <c r="N67" s="147" t="s">
        <v>5</v>
      </c>
      <c r="O67" s="148">
        <v>44900</v>
      </c>
      <c r="P67" s="149" t="s">
        <v>24</v>
      </c>
      <c r="Q67" s="149" t="s">
        <v>24</v>
      </c>
      <c r="R67" s="149" t="s">
        <v>24</v>
      </c>
      <c r="S67" s="149" t="s">
        <v>24</v>
      </c>
      <c r="T67" s="149" t="s">
        <v>24</v>
      </c>
      <c r="U67" s="149" t="s">
        <v>24</v>
      </c>
      <c r="V67" s="149" t="s">
        <v>24</v>
      </c>
      <c r="W67" s="149" t="s">
        <v>24</v>
      </c>
      <c r="X67" s="149" t="s">
        <v>24</v>
      </c>
      <c r="Y67" s="149" t="s">
        <v>24</v>
      </c>
      <c r="Z67" s="149" t="s">
        <v>24</v>
      </c>
      <c r="AA67" s="144"/>
      <c r="AB67" s="146" t="s">
        <v>5873</v>
      </c>
      <c r="AC67" s="145" t="s">
        <v>420</v>
      </c>
      <c r="AD67" s="145" t="s">
        <v>421</v>
      </c>
      <c r="AE67" s="144" t="s">
        <v>12</v>
      </c>
      <c r="AF67" s="168">
        <f>AG67-30000</f>
        <v>13800</v>
      </c>
      <c r="AG67" s="168">
        <v>43800</v>
      </c>
      <c r="AH67" s="151" t="s">
        <v>6</v>
      </c>
      <c r="AI67" s="144" t="s">
        <v>105</v>
      </c>
      <c r="AJ67" s="144" t="s">
        <v>4</v>
      </c>
      <c r="AK67" s="144" t="s">
        <v>5861</v>
      </c>
      <c r="AL67" s="144" t="s">
        <v>17</v>
      </c>
      <c r="AM67" s="144" t="s">
        <v>5860</v>
      </c>
      <c r="AN67" s="144"/>
      <c r="AO67" s="145"/>
      <c r="AP67" s="144"/>
      <c r="AQ67" s="144"/>
      <c r="AR67" s="144"/>
      <c r="AS67" s="144"/>
      <c r="AT67" s="144"/>
      <c r="AU67" s="144"/>
      <c r="AV67" s="144"/>
      <c r="AW67" s="144"/>
      <c r="AX67" s="148"/>
      <c r="AY67" s="149"/>
      <c r="AZ67" s="144"/>
      <c r="BA67" s="144"/>
      <c r="BB67" s="152" t="s">
        <v>5850</v>
      </c>
      <c r="BC67" s="153" t="str">
        <f t="shared" si="2"/>
        <v/>
      </c>
      <c r="BD67" s="173"/>
    </row>
    <row r="68" spans="1:120" s="107" customFormat="1" ht="15" hidden="1" customHeight="1" x14ac:dyDescent="0.25">
      <c r="A68" s="144">
        <v>55</v>
      </c>
      <c r="B68" s="144" t="s">
        <v>99</v>
      </c>
      <c r="C68" s="144">
        <v>1</v>
      </c>
      <c r="D68" s="144">
        <v>0</v>
      </c>
      <c r="E68" s="144">
        <v>0</v>
      </c>
      <c r="F68" s="145" t="s">
        <v>423</v>
      </c>
      <c r="G68" s="144" t="s">
        <v>26</v>
      </c>
      <c r="H68" s="144" t="s">
        <v>2</v>
      </c>
      <c r="I68" s="144" t="s">
        <v>12</v>
      </c>
      <c r="J68" s="146" t="s">
        <v>424</v>
      </c>
      <c r="K68" s="146" t="s">
        <v>425</v>
      </c>
      <c r="L68" s="146" t="s">
        <v>426</v>
      </c>
      <c r="M68" s="147" t="s">
        <v>4</v>
      </c>
      <c r="N68" s="147" t="s">
        <v>5</v>
      </c>
      <c r="O68" s="148">
        <v>44900</v>
      </c>
      <c r="P68" s="149" t="s">
        <v>24</v>
      </c>
      <c r="Q68" s="149" t="s">
        <v>24</v>
      </c>
      <c r="R68" s="149" t="s">
        <v>24</v>
      </c>
      <c r="S68" s="149" t="s">
        <v>24</v>
      </c>
      <c r="T68" s="149" t="s">
        <v>24</v>
      </c>
      <c r="U68" s="149" t="s">
        <v>24</v>
      </c>
      <c r="V68" s="149" t="s">
        <v>24</v>
      </c>
      <c r="W68" s="149" t="s">
        <v>24</v>
      </c>
      <c r="X68" s="149" t="s">
        <v>24</v>
      </c>
      <c r="Y68" s="149" t="s">
        <v>24</v>
      </c>
      <c r="Z68" s="149" t="s">
        <v>24</v>
      </c>
      <c r="AA68" s="144"/>
      <c r="AB68" s="146" t="s">
        <v>424</v>
      </c>
      <c r="AC68" s="146" t="s">
        <v>425</v>
      </c>
      <c r="AD68" s="146" t="s">
        <v>426</v>
      </c>
      <c r="AE68" s="144" t="s">
        <v>12</v>
      </c>
      <c r="AF68" s="168">
        <v>12600</v>
      </c>
      <c r="AG68" s="168">
        <f>AF68+30000</f>
        <v>42600</v>
      </c>
      <c r="AH68" s="151" t="s">
        <v>6</v>
      </c>
      <c r="AI68" s="144" t="s">
        <v>105</v>
      </c>
      <c r="AJ68" s="144" t="s">
        <v>4</v>
      </c>
      <c r="AK68" s="144" t="s">
        <v>105</v>
      </c>
      <c r="AL68" s="144" t="s">
        <v>17</v>
      </c>
      <c r="AM68" s="144" t="s">
        <v>74</v>
      </c>
      <c r="AN68" s="144"/>
      <c r="AO68" s="145"/>
      <c r="AP68" s="144"/>
      <c r="AQ68" s="144"/>
      <c r="AR68" s="144"/>
      <c r="AS68" s="144"/>
      <c r="AT68" s="144"/>
      <c r="AU68" s="144"/>
      <c r="AV68" s="144"/>
      <c r="AW68" s="144"/>
      <c r="AX68" s="148"/>
      <c r="AY68" s="149"/>
      <c r="AZ68" s="144"/>
      <c r="BA68" s="144"/>
      <c r="BB68" s="152"/>
      <c r="BC68" s="153" t="str">
        <f t="shared" si="2"/>
        <v/>
      </c>
      <c r="BD68" s="173"/>
    </row>
    <row r="69" spans="1:120" s="107" customFormat="1" ht="15" customHeight="1" x14ac:dyDescent="0.25">
      <c r="A69" s="144">
        <v>56</v>
      </c>
      <c r="B69" s="144" t="s">
        <v>99</v>
      </c>
      <c r="C69" s="144">
        <v>1</v>
      </c>
      <c r="D69" s="144">
        <v>0</v>
      </c>
      <c r="E69" s="144">
        <v>0</v>
      </c>
      <c r="F69" s="145" t="s">
        <v>428</v>
      </c>
      <c r="G69" s="144" t="s">
        <v>1</v>
      </c>
      <c r="H69" s="144" t="s">
        <v>2</v>
      </c>
      <c r="I69" s="144" t="s">
        <v>12</v>
      </c>
      <c r="J69" s="146" t="s">
        <v>429</v>
      </c>
      <c r="K69" s="146" t="s">
        <v>430</v>
      </c>
      <c r="L69" s="146" t="s">
        <v>431</v>
      </c>
      <c r="M69" s="147" t="s">
        <v>4</v>
      </c>
      <c r="N69" s="147" t="s">
        <v>5</v>
      </c>
      <c r="O69" s="148">
        <v>44900</v>
      </c>
      <c r="P69" s="149" t="s">
        <v>24</v>
      </c>
      <c r="Q69" s="149" t="s">
        <v>24</v>
      </c>
      <c r="R69" s="149" t="s">
        <v>24</v>
      </c>
      <c r="S69" s="149" t="s">
        <v>24</v>
      </c>
      <c r="T69" s="149" t="s">
        <v>24</v>
      </c>
      <c r="U69" s="149" t="s">
        <v>24</v>
      </c>
      <c r="V69" s="149" t="s">
        <v>24</v>
      </c>
      <c r="W69" s="149" t="s">
        <v>24</v>
      </c>
      <c r="X69" s="149" t="s">
        <v>24</v>
      </c>
      <c r="Y69" s="149" t="s">
        <v>24</v>
      </c>
      <c r="Z69" s="149" t="s">
        <v>24</v>
      </c>
      <c r="AA69" s="144"/>
      <c r="AB69" s="146" t="s">
        <v>429</v>
      </c>
      <c r="AC69" s="145" t="s">
        <v>430</v>
      </c>
      <c r="AD69" s="145" t="s">
        <v>431</v>
      </c>
      <c r="AE69" s="144" t="s">
        <v>12</v>
      </c>
      <c r="AF69" s="168">
        <v>23400</v>
      </c>
      <c r="AG69" s="168">
        <f>AF69+30000</f>
        <v>53400</v>
      </c>
      <c r="AH69" s="151" t="s">
        <v>6</v>
      </c>
      <c r="AI69" s="144" t="s">
        <v>105</v>
      </c>
      <c r="AJ69" s="144" t="s">
        <v>4</v>
      </c>
      <c r="AK69" s="144" t="s">
        <v>105</v>
      </c>
      <c r="AL69" s="144" t="s">
        <v>105</v>
      </c>
      <c r="AM69" s="144" t="s">
        <v>106</v>
      </c>
      <c r="AN69" s="144"/>
      <c r="AO69" s="145" t="s">
        <v>432</v>
      </c>
      <c r="AP69" s="144" t="s">
        <v>105</v>
      </c>
      <c r="AQ69" s="144" t="s">
        <v>105</v>
      </c>
      <c r="AR69" s="144" t="s">
        <v>5851</v>
      </c>
      <c r="AS69" s="144"/>
      <c r="AT69" s="144"/>
      <c r="AU69" s="144"/>
      <c r="AV69" s="144"/>
      <c r="AW69" s="144"/>
      <c r="AX69" s="148"/>
      <c r="AY69" s="149"/>
      <c r="AZ69" s="144"/>
      <c r="BA69" s="144"/>
      <c r="BB69" s="152" t="s">
        <v>5855</v>
      </c>
      <c r="BC69" s="153" t="str">
        <f t="shared" si="2"/>
        <v/>
      </c>
      <c r="BD69" s="173"/>
    </row>
    <row r="70" spans="1:120" s="107" customFormat="1" ht="15" hidden="1" customHeight="1" x14ac:dyDescent="0.25">
      <c r="A70" s="144">
        <v>57</v>
      </c>
      <c r="B70" s="144" t="s">
        <v>99</v>
      </c>
      <c r="C70" s="144">
        <v>1</v>
      </c>
      <c r="D70" s="144">
        <v>0</v>
      </c>
      <c r="E70" s="144">
        <v>0</v>
      </c>
      <c r="F70" s="145" t="s">
        <v>433</v>
      </c>
      <c r="G70" s="144" t="s">
        <v>1</v>
      </c>
      <c r="H70" s="144" t="s">
        <v>2</v>
      </c>
      <c r="I70" s="144" t="s">
        <v>12</v>
      </c>
      <c r="J70" s="146" t="s">
        <v>434</v>
      </c>
      <c r="K70" s="146" t="s">
        <v>435</v>
      </c>
      <c r="L70" s="146" t="s">
        <v>437</v>
      </c>
      <c r="M70" s="147" t="s">
        <v>4</v>
      </c>
      <c r="N70" s="147" t="s">
        <v>17</v>
      </c>
      <c r="O70" s="148">
        <v>44900</v>
      </c>
      <c r="P70" s="149" t="s">
        <v>139</v>
      </c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4"/>
      <c r="AB70" s="146" t="s">
        <v>434</v>
      </c>
      <c r="AC70" s="145" t="s">
        <v>435</v>
      </c>
      <c r="AD70" s="145" t="s">
        <v>437</v>
      </c>
      <c r="AE70" s="144" t="s">
        <v>12</v>
      </c>
      <c r="AF70" s="168">
        <v>35800</v>
      </c>
      <c r="AG70" s="168">
        <v>60000</v>
      </c>
      <c r="AH70" s="151"/>
      <c r="AI70" s="144"/>
      <c r="AJ70" s="144" t="s">
        <v>139</v>
      </c>
      <c r="AK70" s="144"/>
      <c r="AL70" s="144"/>
      <c r="AM70" s="144"/>
      <c r="AN70" s="144"/>
      <c r="AO70" s="145"/>
      <c r="AP70" s="144"/>
      <c r="AQ70" s="144"/>
      <c r="AR70" s="144"/>
      <c r="AS70" s="144"/>
      <c r="AT70" s="144"/>
      <c r="AU70" s="144"/>
      <c r="AV70" s="144"/>
      <c r="AW70" s="144"/>
      <c r="AX70" s="144"/>
      <c r="AY70" s="149"/>
      <c r="AZ70" s="144"/>
      <c r="BA70" s="144"/>
      <c r="BB70" s="152"/>
      <c r="BC70" s="153" t="str">
        <f t="shared" si="2"/>
        <v/>
      </c>
      <c r="BD70" s="173"/>
    </row>
    <row r="71" spans="1:120" s="107" customFormat="1" ht="15" hidden="1" customHeight="1" x14ac:dyDescent="0.25">
      <c r="A71" s="144">
        <v>58</v>
      </c>
      <c r="B71" s="144" t="s">
        <v>99</v>
      </c>
      <c r="C71" s="144">
        <v>1</v>
      </c>
      <c r="D71" s="144">
        <v>0</v>
      </c>
      <c r="E71" s="144">
        <v>0</v>
      </c>
      <c r="F71" s="145" t="s">
        <v>438</v>
      </c>
      <c r="G71" s="144" t="s">
        <v>1</v>
      </c>
      <c r="H71" s="144" t="s">
        <v>2</v>
      </c>
      <c r="I71" s="144" t="s">
        <v>121</v>
      </c>
      <c r="J71" s="145" t="s">
        <v>439</v>
      </c>
      <c r="K71" s="146" t="s">
        <v>5874</v>
      </c>
      <c r="L71" s="146" t="s">
        <v>441</v>
      </c>
      <c r="M71" s="147" t="s">
        <v>4</v>
      </c>
      <c r="N71" s="147" t="s">
        <v>14</v>
      </c>
      <c r="O71" s="148">
        <v>44900</v>
      </c>
      <c r="P71" s="149" t="s">
        <v>17</v>
      </c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4"/>
      <c r="AB71" s="145" t="s">
        <v>442</v>
      </c>
      <c r="AC71" s="145" t="s">
        <v>443</v>
      </c>
      <c r="AD71" s="145" t="s">
        <v>444</v>
      </c>
      <c r="AE71" s="144" t="s">
        <v>3</v>
      </c>
      <c r="AF71" s="168">
        <v>37800</v>
      </c>
      <c r="AG71" s="168">
        <v>60000</v>
      </c>
      <c r="AH71" s="151" t="s">
        <v>6</v>
      </c>
      <c r="AI71" s="144" t="s">
        <v>105</v>
      </c>
      <c r="AJ71" s="144" t="s">
        <v>4</v>
      </c>
      <c r="AK71" s="144" t="s">
        <v>105</v>
      </c>
      <c r="AL71" s="144" t="s">
        <v>105</v>
      </c>
      <c r="AM71" s="144" t="s">
        <v>106</v>
      </c>
      <c r="AN71" s="144"/>
      <c r="AO71" s="145" t="s">
        <v>445</v>
      </c>
      <c r="AP71" s="144" t="s">
        <v>105</v>
      </c>
      <c r="AQ71" s="144" t="s">
        <v>105</v>
      </c>
      <c r="AR71" s="144" t="s">
        <v>105</v>
      </c>
      <c r="AS71" s="144" t="s">
        <v>105</v>
      </c>
      <c r="AT71" s="148">
        <v>44922</v>
      </c>
      <c r="AU71" s="144" t="s">
        <v>105</v>
      </c>
      <c r="AV71" s="144" t="s">
        <v>105</v>
      </c>
      <c r="AW71" s="144" t="s">
        <v>105</v>
      </c>
      <c r="AX71" s="148">
        <v>44924</v>
      </c>
      <c r="AY71" s="148">
        <v>44924</v>
      </c>
      <c r="AZ71" s="144" t="s">
        <v>220</v>
      </c>
      <c r="BA71" s="144" t="s">
        <v>1</v>
      </c>
      <c r="BB71" s="152" t="s">
        <v>105</v>
      </c>
      <c r="BC71" s="153">
        <f t="shared" si="2"/>
        <v>24</v>
      </c>
      <c r="BD71" s="173"/>
    </row>
    <row r="72" spans="1:120" s="107" customFormat="1" ht="15" hidden="1" customHeight="1" x14ac:dyDescent="0.25">
      <c r="A72" s="144">
        <v>59</v>
      </c>
      <c r="B72" s="144" t="s">
        <v>99</v>
      </c>
      <c r="C72" s="144">
        <v>1</v>
      </c>
      <c r="D72" s="144">
        <v>0</v>
      </c>
      <c r="E72" s="144">
        <v>0</v>
      </c>
      <c r="F72" s="145" t="s">
        <v>446</v>
      </c>
      <c r="G72" s="144" t="s">
        <v>1</v>
      </c>
      <c r="H72" s="144" t="s">
        <v>2</v>
      </c>
      <c r="I72" s="144" t="s">
        <v>121</v>
      </c>
      <c r="J72" s="146" t="s">
        <v>447</v>
      </c>
      <c r="K72" s="146" t="s">
        <v>448</v>
      </c>
      <c r="L72" s="146" t="s">
        <v>449</v>
      </c>
      <c r="M72" s="147" t="s">
        <v>4</v>
      </c>
      <c r="N72" s="147" t="s">
        <v>14</v>
      </c>
      <c r="O72" s="148">
        <v>44900</v>
      </c>
      <c r="P72" s="149" t="s">
        <v>17</v>
      </c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4"/>
      <c r="AB72" s="145" t="s">
        <v>442</v>
      </c>
      <c r="AC72" s="145" t="s">
        <v>443</v>
      </c>
      <c r="AD72" s="145" t="s">
        <v>444</v>
      </c>
      <c r="AE72" s="144" t="s">
        <v>3</v>
      </c>
      <c r="AF72" s="168">
        <v>40100</v>
      </c>
      <c r="AG72" s="168">
        <v>60000</v>
      </c>
      <c r="AH72" s="151" t="s">
        <v>24</v>
      </c>
      <c r="AI72" s="151" t="s">
        <v>24</v>
      </c>
      <c r="AJ72" s="151" t="s">
        <v>24</v>
      </c>
      <c r="AK72" s="151" t="s">
        <v>24</v>
      </c>
      <c r="AL72" s="151" t="s">
        <v>24</v>
      </c>
      <c r="AM72" s="151" t="s">
        <v>24</v>
      </c>
      <c r="AN72" s="144" t="s">
        <v>450</v>
      </c>
      <c r="AO72" s="151" t="s">
        <v>24</v>
      </c>
      <c r="AP72" s="151" t="s">
        <v>24</v>
      </c>
      <c r="AQ72" s="151" t="s">
        <v>24</v>
      </c>
      <c r="AR72" s="151" t="s">
        <v>24</v>
      </c>
      <c r="AS72" s="151" t="s">
        <v>24</v>
      </c>
      <c r="AT72" s="151" t="s">
        <v>24</v>
      </c>
      <c r="AU72" s="151" t="s">
        <v>24</v>
      </c>
      <c r="AV72" s="151" t="s">
        <v>24</v>
      </c>
      <c r="AW72" s="151" t="s">
        <v>24</v>
      </c>
      <c r="AX72" s="151"/>
      <c r="AY72" s="149"/>
      <c r="AZ72" s="144"/>
      <c r="BA72" s="144"/>
      <c r="BB72" s="152" t="s">
        <v>5875</v>
      </c>
      <c r="BC72" s="153" t="str">
        <f t="shared" si="2"/>
        <v/>
      </c>
      <c r="BD72" s="173"/>
    </row>
    <row r="73" spans="1:120" s="107" customFormat="1" ht="15" hidden="1" customHeight="1" x14ac:dyDescent="0.25">
      <c r="A73" s="144">
        <v>60</v>
      </c>
      <c r="B73" s="144" t="s">
        <v>99</v>
      </c>
      <c r="C73" s="144">
        <v>1</v>
      </c>
      <c r="D73" s="144">
        <v>0</v>
      </c>
      <c r="E73" s="144">
        <v>0</v>
      </c>
      <c r="F73" s="145" t="s">
        <v>451</v>
      </c>
      <c r="G73" s="144" t="s">
        <v>1</v>
      </c>
      <c r="H73" s="144" t="s">
        <v>2</v>
      </c>
      <c r="I73" s="144" t="s">
        <v>12</v>
      </c>
      <c r="J73" s="146" t="s">
        <v>452</v>
      </c>
      <c r="K73" s="146" t="s">
        <v>453</v>
      </c>
      <c r="L73" s="146" t="s">
        <v>454</v>
      </c>
      <c r="M73" s="147" t="s">
        <v>4</v>
      </c>
      <c r="N73" s="147" t="s">
        <v>5</v>
      </c>
      <c r="O73" s="148">
        <v>44900</v>
      </c>
      <c r="P73" s="149" t="s">
        <v>24</v>
      </c>
      <c r="Q73" s="149" t="s">
        <v>24</v>
      </c>
      <c r="R73" s="149" t="s">
        <v>24</v>
      </c>
      <c r="S73" s="149" t="s">
        <v>24</v>
      </c>
      <c r="T73" s="149" t="s">
        <v>24</v>
      </c>
      <c r="U73" s="149" t="s">
        <v>24</v>
      </c>
      <c r="V73" s="149" t="s">
        <v>24</v>
      </c>
      <c r="W73" s="149" t="s">
        <v>24</v>
      </c>
      <c r="X73" s="149" t="s">
        <v>24</v>
      </c>
      <c r="Y73" s="149" t="s">
        <v>24</v>
      </c>
      <c r="Z73" s="149" t="s">
        <v>24</v>
      </c>
      <c r="AA73" s="144"/>
      <c r="AB73" s="146" t="s">
        <v>452</v>
      </c>
      <c r="AC73" s="145" t="s">
        <v>453</v>
      </c>
      <c r="AD73" s="145" t="s">
        <v>454</v>
      </c>
      <c r="AE73" s="144" t="s">
        <v>12</v>
      </c>
      <c r="AF73" s="168">
        <v>12100</v>
      </c>
      <c r="AG73" s="168">
        <f>AF73+30000</f>
        <v>42100</v>
      </c>
      <c r="AH73" s="151" t="s">
        <v>6</v>
      </c>
      <c r="AI73" s="144" t="s">
        <v>105</v>
      </c>
      <c r="AJ73" s="144" t="s">
        <v>4</v>
      </c>
      <c r="AK73" s="144" t="s">
        <v>105</v>
      </c>
      <c r="AL73" s="144" t="s">
        <v>105</v>
      </c>
      <c r="AM73" s="144" t="s">
        <v>106</v>
      </c>
      <c r="AN73" s="144"/>
      <c r="AO73" s="145" t="s">
        <v>455</v>
      </c>
      <c r="AP73" s="144" t="s">
        <v>105</v>
      </c>
      <c r="AQ73" s="144" t="s">
        <v>105</v>
      </c>
      <c r="AR73" s="144" t="s">
        <v>105</v>
      </c>
      <c r="AS73" s="144" t="s">
        <v>105</v>
      </c>
      <c r="AT73" s="148">
        <v>44922</v>
      </c>
      <c r="AU73" s="144" t="s">
        <v>105</v>
      </c>
      <c r="AV73" s="144" t="s">
        <v>105</v>
      </c>
      <c r="AW73" s="144" t="s">
        <v>5869</v>
      </c>
      <c r="AX73" s="148"/>
      <c r="AY73" s="149"/>
      <c r="AZ73" s="144"/>
      <c r="BA73" s="144"/>
      <c r="BB73" s="152" t="s">
        <v>5855</v>
      </c>
      <c r="BC73" s="153" t="str">
        <f t="shared" si="2"/>
        <v/>
      </c>
      <c r="BD73" s="173"/>
    </row>
    <row r="74" spans="1:120" s="107" customFormat="1" ht="15" hidden="1" customHeight="1" x14ac:dyDescent="0.25">
      <c r="A74" s="144">
        <v>61</v>
      </c>
      <c r="B74" s="144" t="s">
        <v>99</v>
      </c>
      <c r="C74" s="144">
        <v>1</v>
      </c>
      <c r="D74" s="144">
        <v>0</v>
      </c>
      <c r="E74" s="144">
        <v>0</v>
      </c>
      <c r="F74" s="145" t="s">
        <v>456</v>
      </c>
      <c r="G74" s="144" t="s">
        <v>1</v>
      </c>
      <c r="H74" s="144" t="s">
        <v>2</v>
      </c>
      <c r="I74" s="144" t="s">
        <v>12</v>
      </c>
      <c r="J74" s="146" t="s">
        <v>457</v>
      </c>
      <c r="K74" s="145" t="s">
        <v>458</v>
      </c>
      <c r="L74" s="145" t="s">
        <v>459</v>
      </c>
      <c r="M74" s="147" t="s">
        <v>4</v>
      </c>
      <c r="N74" s="147" t="s">
        <v>5</v>
      </c>
      <c r="O74" s="148">
        <v>44900</v>
      </c>
      <c r="P74" s="149" t="s">
        <v>24</v>
      </c>
      <c r="Q74" s="149" t="s">
        <v>24</v>
      </c>
      <c r="R74" s="149" t="s">
        <v>24</v>
      </c>
      <c r="S74" s="149" t="s">
        <v>24</v>
      </c>
      <c r="T74" s="149" t="s">
        <v>24</v>
      </c>
      <c r="U74" s="149" t="s">
        <v>24</v>
      </c>
      <c r="V74" s="149" t="s">
        <v>24</v>
      </c>
      <c r="W74" s="149" t="s">
        <v>24</v>
      </c>
      <c r="X74" s="149" t="s">
        <v>24</v>
      </c>
      <c r="Y74" s="149" t="s">
        <v>24</v>
      </c>
      <c r="Z74" s="149" t="s">
        <v>24</v>
      </c>
      <c r="AA74" s="144"/>
      <c r="AB74" s="146" t="s">
        <v>457</v>
      </c>
      <c r="AC74" s="145" t="s">
        <v>458</v>
      </c>
      <c r="AD74" s="145" t="s">
        <v>459</v>
      </c>
      <c r="AE74" s="144" t="s">
        <v>12</v>
      </c>
      <c r="AF74" s="168">
        <f>AG74-30000</f>
        <v>19600</v>
      </c>
      <c r="AG74" s="168">
        <v>49600</v>
      </c>
      <c r="AH74" s="151" t="s">
        <v>6</v>
      </c>
      <c r="AI74" s="144" t="s">
        <v>105</v>
      </c>
      <c r="AJ74" s="144" t="s">
        <v>4</v>
      </c>
      <c r="AK74" s="144" t="s">
        <v>5859</v>
      </c>
      <c r="AL74" s="144" t="s">
        <v>17</v>
      </c>
      <c r="AM74" s="144" t="s">
        <v>5860</v>
      </c>
      <c r="AN74" s="144"/>
      <c r="AO74" s="145"/>
      <c r="AP74" s="144"/>
      <c r="AQ74" s="144"/>
      <c r="AR74" s="144"/>
      <c r="AS74" s="144"/>
      <c r="AT74" s="144"/>
      <c r="AU74" s="144"/>
      <c r="AV74" s="144"/>
      <c r="AW74" s="144"/>
      <c r="AX74" s="148"/>
      <c r="AY74" s="149"/>
      <c r="AZ74" s="144"/>
      <c r="BA74" s="144"/>
      <c r="BB74" s="152" t="s">
        <v>5850</v>
      </c>
      <c r="BC74" s="153" t="str">
        <f t="shared" si="2"/>
        <v/>
      </c>
      <c r="BD74" s="173"/>
    </row>
    <row r="75" spans="1:120" s="107" customFormat="1" ht="15" customHeight="1" x14ac:dyDescent="0.25">
      <c r="A75" s="144">
        <v>62</v>
      </c>
      <c r="B75" s="144" t="s">
        <v>99</v>
      </c>
      <c r="C75" s="144">
        <v>1</v>
      </c>
      <c r="D75" s="144">
        <v>0</v>
      </c>
      <c r="E75" s="144">
        <v>0</v>
      </c>
      <c r="F75" s="145" t="s">
        <v>460</v>
      </c>
      <c r="G75" s="144" t="s">
        <v>26</v>
      </c>
      <c r="H75" s="144" t="s">
        <v>2</v>
      </c>
      <c r="I75" s="144" t="s">
        <v>121</v>
      </c>
      <c r="J75" s="146" t="s">
        <v>139</v>
      </c>
      <c r="K75" s="146" t="s">
        <v>139</v>
      </c>
      <c r="L75" s="146" t="s">
        <v>139</v>
      </c>
      <c r="M75" s="147" t="s">
        <v>139</v>
      </c>
      <c r="N75" s="147" t="s">
        <v>14</v>
      </c>
      <c r="O75" s="148">
        <v>44900</v>
      </c>
      <c r="P75" s="149" t="s">
        <v>17</v>
      </c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4"/>
      <c r="AB75" s="146" t="s">
        <v>461</v>
      </c>
      <c r="AC75" s="145" t="s">
        <v>462</v>
      </c>
      <c r="AD75" s="145" t="s">
        <v>463</v>
      </c>
      <c r="AE75" s="144" t="s">
        <v>3</v>
      </c>
      <c r="AF75" s="168">
        <f>AG75-30000</f>
        <v>8500</v>
      </c>
      <c r="AG75" s="168">
        <v>38500</v>
      </c>
      <c r="AH75" s="151" t="s">
        <v>6</v>
      </c>
      <c r="AI75" s="144" t="s">
        <v>105</v>
      </c>
      <c r="AJ75" s="144" t="s">
        <v>4</v>
      </c>
      <c r="AK75" s="144" t="s">
        <v>105</v>
      </c>
      <c r="AL75" s="144" t="s">
        <v>105</v>
      </c>
      <c r="AM75" s="144" t="s">
        <v>106</v>
      </c>
      <c r="AN75" s="156"/>
      <c r="AO75" s="145" t="s">
        <v>464</v>
      </c>
      <c r="AP75" s="144" t="s">
        <v>105</v>
      </c>
      <c r="AQ75" s="144" t="s">
        <v>105</v>
      </c>
      <c r="AR75" s="144" t="s">
        <v>5851</v>
      </c>
      <c r="AS75" s="144"/>
      <c r="AT75" s="144"/>
      <c r="AU75" s="144"/>
      <c r="AV75" s="144"/>
      <c r="AW75" s="144"/>
      <c r="AX75" s="148"/>
      <c r="AY75" s="149"/>
      <c r="AZ75" s="144"/>
      <c r="BA75" s="144"/>
      <c r="BB75" s="152" t="s">
        <v>5852</v>
      </c>
      <c r="BC75" s="153" t="str">
        <f t="shared" si="2"/>
        <v/>
      </c>
      <c r="BD75" s="173"/>
    </row>
    <row r="76" spans="1:120" s="107" customFormat="1" ht="15" hidden="1" customHeight="1" x14ac:dyDescent="0.25">
      <c r="A76" s="144">
        <v>63</v>
      </c>
      <c r="B76" s="144" t="s">
        <v>99</v>
      </c>
      <c r="C76" s="144">
        <v>2</v>
      </c>
      <c r="D76" s="144">
        <v>0</v>
      </c>
      <c r="E76" s="144">
        <v>0</v>
      </c>
      <c r="F76" s="192" t="s">
        <v>465</v>
      </c>
      <c r="G76" s="147" t="s">
        <v>1</v>
      </c>
      <c r="H76" s="147" t="s">
        <v>2</v>
      </c>
      <c r="I76" s="147" t="s">
        <v>139</v>
      </c>
      <c r="J76" s="146" t="s">
        <v>466</v>
      </c>
      <c r="K76" s="145"/>
      <c r="L76" s="145"/>
      <c r="M76" s="144"/>
      <c r="N76" s="167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4"/>
      <c r="AB76" s="163"/>
      <c r="AC76" s="145"/>
      <c r="AD76" s="145"/>
      <c r="AE76" s="144"/>
      <c r="AF76" s="168"/>
      <c r="AG76" s="168"/>
      <c r="AH76" s="144"/>
      <c r="AI76" s="144"/>
      <c r="AJ76" s="144"/>
      <c r="AK76" s="144"/>
      <c r="AL76" s="144"/>
      <c r="AM76" s="144"/>
      <c r="AN76" s="144"/>
      <c r="AO76" s="145"/>
      <c r="AP76" s="144"/>
      <c r="AQ76" s="144"/>
      <c r="AR76" s="144"/>
      <c r="AS76" s="144"/>
      <c r="AT76" s="149"/>
      <c r="AU76" s="149"/>
      <c r="AV76" s="149"/>
      <c r="AW76" s="144"/>
      <c r="AX76" s="149"/>
      <c r="AY76" s="149"/>
      <c r="AZ76" s="149"/>
      <c r="BA76" s="144"/>
      <c r="BB76" s="152"/>
      <c r="BC76" s="153"/>
      <c r="BD76" s="173"/>
    </row>
    <row r="77" spans="1:120" s="107" customFormat="1" ht="15" hidden="1" customHeight="1" x14ac:dyDescent="0.25">
      <c r="A77" s="144">
        <v>64</v>
      </c>
      <c r="B77" s="144" t="s">
        <v>99</v>
      </c>
      <c r="C77" s="144">
        <v>2</v>
      </c>
      <c r="D77" s="144">
        <v>0</v>
      </c>
      <c r="E77" s="144">
        <v>0</v>
      </c>
      <c r="F77" s="192" t="s">
        <v>468</v>
      </c>
      <c r="G77" s="147" t="s">
        <v>1</v>
      </c>
      <c r="H77" s="147" t="s">
        <v>2</v>
      </c>
      <c r="I77" s="147" t="s">
        <v>139</v>
      </c>
      <c r="J77" s="146" t="s">
        <v>469</v>
      </c>
      <c r="K77" s="145"/>
      <c r="L77" s="145"/>
      <c r="M77" s="144"/>
      <c r="N77" s="167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4"/>
      <c r="AB77" s="163"/>
      <c r="AC77" s="145"/>
      <c r="AD77" s="145"/>
      <c r="AE77" s="144"/>
      <c r="AF77" s="168"/>
      <c r="AG77" s="168"/>
      <c r="AH77" s="144"/>
      <c r="AI77" s="144"/>
      <c r="AJ77" s="144"/>
      <c r="AK77" s="144"/>
      <c r="AL77" s="144"/>
      <c r="AM77" s="144"/>
      <c r="AN77" s="144"/>
      <c r="AO77" s="163"/>
      <c r="AP77" s="144"/>
      <c r="AQ77" s="144"/>
      <c r="AR77" s="144"/>
      <c r="AS77" s="144"/>
      <c r="AT77" s="149"/>
      <c r="AU77" s="144"/>
      <c r="AV77" s="144"/>
      <c r="AW77" s="144"/>
      <c r="AX77" s="149"/>
      <c r="AY77" s="149"/>
      <c r="AZ77" s="149"/>
      <c r="BA77" s="144"/>
      <c r="BB77" s="152"/>
      <c r="BC77" s="153"/>
      <c r="BD77" s="173"/>
    </row>
    <row r="78" spans="1:120" s="107" customFormat="1" ht="15" hidden="1" customHeight="1" x14ac:dyDescent="0.25">
      <c r="A78" s="144">
        <v>65</v>
      </c>
      <c r="B78" s="144" t="s">
        <v>99</v>
      </c>
      <c r="C78" s="144">
        <v>2</v>
      </c>
      <c r="D78" s="144">
        <v>0</v>
      </c>
      <c r="E78" s="144">
        <v>0</v>
      </c>
      <c r="F78" s="192" t="s">
        <v>470</v>
      </c>
      <c r="G78" s="147" t="s">
        <v>1</v>
      </c>
      <c r="H78" s="147" t="s">
        <v>366</v>
      </c>
      <c r="I78" s="147" t="s">
        <v>139</v>
      </c>
      <c r="J78" s="146" t="s">
        <v>471</v>
      </c>
      <c r="K78" s="145"/>
      <c r="L78" s="145"/>
      <c r="M78" s="144"/>
      <c r="N78" s="167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4"/>
      <c r="AB78" s="163"/>
      <c r="AC78" s="145"/>
      <c r="AD78" s="145"/>
      <c r="AE78" s="144"/>
      <c r="AF78" s="168"/>
      <c r="AG78" s="168"/>
      <c r="AH78" s="144"/>
      <c r="AI78" s="144"/>
      <c r="AJ78" s="144"/>
      <c r="AK78" s="144"/>
      <c r="AL78" s="144"/>
      <c r="AM78" s="144"/>
      <c r="AN78" s="144"/>
      <c r="AO78" s="163"/>
      <c r="AP78" s="144"/>
      <c r="AQ78" s="144"/>
      <c r="AR78" s="144"/>
      <c r="AS78" s="144"/>
      <c r="AT78" s="149"/>
      <c r="AU78" s="144"/>
      <c r="AV78" s="144"/>
      <c r="AW78" s="144"/>
      <c r="AX78" s="149"/>
      <c r="AY78" s="149"/>
      <c r="AZ78" s="149"/>
      <c r="BA78" s="144"/>
      <c r="BB78" s="152"/>
      <c r="BC78" s="153"/>
      <c r="BD78" s="173"/>
    </row>
    <row r="79" spans="1:120" s="107" customFormat="1" ht="15" hidden="1" customHeight="1" x14ac:dyDescent="0.25">
      <c r="A79" s="144">
        <v>66</v>
      </c>
      <c r="B79" s="144" t="s">
        <v>99</v>
      </c>
      <c r="C79" s="144">
        <v>2</v>
      </c>
      <c r="D79" s="144">
        <v>0</v>
      </c>
      <c r="E79" s="144">
        <v>0</v>
      </c>
      <c r="F79" s="192" t="s">
        <v>472</v>
      </c>
      <c r="G79" s="147" t="s">
        <v>1</v>
      </c>
      <c r="H79" s="147" t="s">
        <v>2</v>
      </c>
      <c r="I79" s="144" t="s">
        <v>360</v>
      </c>
      <c r="J79" s="146" t="s">
        <v>139</v>
      </c>
      <c r="K79" s="145"/>
      <c r="L79" s="145"/>
      <c r="M79" s="144"/>
      <c r="N79" s="167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4"/>
      <c r="AB79" s="163"/>
      <c r="AC79" s="145"/>
      <c r="AD79" s="145"/>
      <c r="AE79" s="144"/>
      <c r="AF79" s="168"/>
      <c r="AG79" s="168"/>
      <c r="AH79" s="144"/>
      <c r="AI79" s="144"/>
      <c r="AJ79" s="144"/>
      <c r="AK79" s="144"/>
      <c r="AL79" s="144"/>
      <c r="AM79" s="144"/>
      <c r="AN79" s="144"/>
      <c r="AO79" s="145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9"/>
      <c r="BA79" s="144"/>
      <c r="BB79" s="152"/>
      <c r="BC79" s="153"/>
      <c r="BD79" s="173"/>
    </row>
    <row r="80" spans="1:120" s="107" customFormat="1" ht="15" hidden="1" customHeight="1" x14ac:dyDescent="0.25">
      <c r="A80" s="144">
        <v>67</v>
      </c>
      <c r="B80" s="144" t="s">
        <v>99</v>
      </c>
      <c r="C80" s="144">
        <v>2</v>
      </c>
      <c r="D80" s="144">
        <v>0</v>
      </c>
      <c r="E80" s="144">
        <v>0</v>
      </c>
      <c r="F80" s="192" t="s">
        <v>481</v>
      </c>
      <c r="G80" s="147" t="s">
        <v>1</v>
      </c>
      <c r="H80" s="147" t="s">
        <v>2</v>
      </c>
      <c r="I80" s="147" t="s">
        <v>139</v>
      </c>
      <c r="J80" s="146" t="s">
        <v>5876</v>
      </c>
      <c r="K80" s="145"/>
      <c r="L80" s="145"/>
      <c r="M80" s="144"/>
      <c r="N80" s="144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4"/>
      <c r="AB80" s="163"/>
      <c r="AC80" s="145"/>
      <c r="AD80" s="145"/>
      <c r="AE80" s="144"/>
      <c r="AF80" s="168"/>
      <c r="AG80" s="168"/>
      <c r="AH80" s="144"/>
      <c r="AI80" s="144"/>
      <c r="AJ80" s="144"/>
      <c r="AK80" s="144"/>
      <c r="AL80" s="144"/>
      <c r="AM80" s="144"/>
      <c r="AN80" s="144"/>
      <c r="AO80" s="145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69"/>
      <c r="BB80" s="152"/>
      <c r="BC80" s="153"/>
      <c r="BD80" s="173"/>
    </row>
    <row r="81" spans="1:56" s="107" customFormat="1" ht="15" hidden="1" customHeight="1" x14ac:dyDescent="0.25">
      <c r="A81" s="144">
        <v>68</v>
      </c>
      <c r="B81" s="144" t="s">
        <v>99</v>
      </c>
      <c r="C81" s="144">
        <v>2</v>
      </c>
      <c r="D81" s="144">
        <v>0</v>
      </c>
      <c r="E81" s="144">
        <v>0</v>
      </c>
      <c r="F81" s="192" t="s">
        <v>487</v>
      </c>
      <c r="G81" s="147" t="s">
        <v>1</v>
      </c>
      <c r="H81" s="147" t="s">
        <v>366</v>
      </c>
      <c r="I81" s="147" t="s">
        <v>139</v>
      </c>
      <c r="J81" s="146" t="s">
        <v>488</v>
      </c>
      <c r="K81" s="145"/>
      <c r="L81" s="145"/>
      <c r="M81" s="144"/>
      <c r="N81" s="167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4"/>
      <c r="AB81" s="163"/>
      <c r="AC81" s="163"/>
      <c r="AD81" s="163"/>
      <c r="AE81" s="144"/>
      <c r="AF81" s="168"/>
      <c r="AG81" s="168"/>
      <c r="AH81" s="144"/>
      <c r="AI81" s="144"/>
      <c r="AJ81" s="144"/>
      <c r="AK81" s="144"/>
      <c r="AL81" s="144"/>
      <c r="AM81" s="144"/>
      <c r="AN81" s="144"/>
      <c r="AO81" s="145"/>
      <c r="AP81" s="144"/>
      <c r="AQ81" s="144"/>
      <c r="AR81" s="144"/>
      <c r="AS81" s="144"/>
      <c r="AT81" s="144"/>
      <c r="AU81" s="144"/>
      <c r="AV81" s="144"/>
      <c r="AW81" s="144"/>
      <c r="AX81" s="149"/>
      <c r="AY81" s="149"/>
      <c r="AZ81" s="149"/>
      <c r="BA81" s="144"/>
      <c r="BB81" s="152"/>
      <c r="BC81" s="153"/>
      <c r="BD81" s="173"/>
    </row>
    <row r="82" spans="1:56" s="107" customFormat="1" ht="15" hidden="1" customHeight="1" x14ac:dyDescent="0.25">
      <c r="A82" s="144">
        <v>69</v>
      </c>
      <c r="B82" s="144" t="s">
        <v>99</v>
      </c>
      <c r="C82" s="144">
        <v>2</v>
      </c>
      <c r="D82" s="144">
        <v>0</v>
      </c>
      <c r="E82" s="144">
        <v>0</v>
      </c>
      <c r="F82" s="192" t="s">
        <v>495</v>
      </c>
      <c r="G82" s="147" t="s">
        <v>1</v>
      </c>
      <c r="H82" s="147" t="s">
        <v>2</v>
      </c>
      <c r="I82" s="147" t="s">
        <v>139</v>
      </c>
      <c r="J82" s="146" t="s">
        <v>496</v>
      </c>
      <c r="K82" s="145"/>
      <c r="L82" s="145"/>
      <c r="M82" s="144"/>
      <c r="N82" s="167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4"/>
      <c r="AB82" s="145"/>
      <c r="AC82" s="145"/>
      <c r="AD82" s="145"/>
      <c r="AE82" s="144"/>
      <c r="AF82" s="168"/>
      <c r="AG82" s="168"/>
      <c r="AH82" s="144"/>
      <c r="AI82" s="144"/>
      <c r="AJ82" s="144"/>
      <c r="AK82" s="144"/>
      <c r="AL82" s="144"/>
      <c r="AM82" s="144"/>
      <c r="AN82" s="144"/>
      <c r="AO82" s="145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52"/>
      <c r="BC82" s="153"/>
      <c r="BD82" s="173"/>
    </row>
    <row r="83" spans="1:56" s="107" customFormat="1" ht="15" hidden="1" customHeight="1" x14ac:dyDescent="0.25">
      <c r="A83" s="144">
        <v>70</v>
      </c>
      <c r="B83" s="144" t="s">
        <v>99</v>
      </c>
      <c r="C83" s="144">
        <v>2</v>
      </c>
      <c r="D83" s="144">
        <v>0</v>
      </c>
      <c r="E83" s="144">
        <v>0</v>
      </c>
      <c r="F83" s="192" t="s">
        <v>503</v>
      </c>
      <c r="G83" s="147" t="s">
        <v>1</v>
      </c>
      <c r="H83" s="147" t="s">
        <v>2</v>
      </c>
      <c r="I83" s="147" t="s">
        <v>139</v>
      </c>
      <c r="J83" s="146" t="s">
        <v>504</v>
      </c>
      <c r="K83" s="145"/>
      <c r="L83" s="145"/>
      <c r="M83" s="144"/>
      <c r="N83" s="144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4"/>
      <c r="AB83" s="163"/>
      <c r="AC83" s="145"/>
      <c r="AD83" s="145"/>
      <c r="AE83" s="144"/>
      <c r="AF83" s="168"/>
      <c r="AG83" s="168"/>
      <c r="AH83" s="144"/>
      <c r="AI83" s="144"/>
      <c r="AJ83" s="144"/>
      <c r="AK83" s="144"/>
      <c r="AL83" s="144"/>
      <c r="AM83" s="144"/>
      <c r="AN83" s="144"/>
      <c r="AO83" s="145"/>
      <c r="AP83" s="167"/>
      <c r="AQ83" s="167"/>
      <c r="AR83" s="167"/>
      <c r="AS83" s="144"/>
      <c r="AT83" s="149"/>
      <c r="AU83" s="144"/>
      <c r="AV83" s="144"/>
      <c r="AW83" s="144"/>
      <c r="AX83" s="149"/>
      <c r="AY83" s="149"/>
      <c r="AZ83" s="149"/>
      <c r="BA83" s="144"/>
      <c r="BB83" s="152"/>
      <c r="BC83" s="153"/>
      <c r="BD83" s="173"/>
    </row>
    <row r="84" spans="1:56" s="107" customFormat="1" ht="15" hidden="1" customHeight="1" x14ac:dyDescent="0.25">
      <c r="A84" s="144">
        <v>71</v>
      </c>
      <c r="B84" s="144" t="s">
        <v>99</v>
      </c>
      <c r="C84" s="144">
        <v>1</v>
      </c>
      <c r="D84" s="144">
        <v>0</v>
      </c>
      <c r="E84" s="144">
        <v>0</v>
      </c>
      <c r="F84" s="145" t="s">
        <v>510</v>
      </c>
      <c r="G84" s="144" t="s">
        <v>1</v>
      </c>
      <c r="H84" s="144" t="s">
        <v>2</v>
      </c>
      <c r="I84" s="144" t="s">
        <v>12</v>
      </c>
      <c r="J84" s="146" t="s">
        <v>511</v>
      </c>
      <c r="K84" s="146" t="s">
        <v>512</v>
      </c>
      <c r="L84" s="146" t="s">
        <v>513</v>
      </c>
      <c r="M84" s="147" t="s">
        <v>4</v>
      </c>
      <c r="N84" s="147" t="s">
        <v>5</v>
      </c>
      <c r="O84" s="148">
        <v>44900</v>
      </c>
      <c r="P84" s="149" t="s">
        <v>24</v>
      </c>
      <c r="Q84" s="149" t="s">
        <v>24</v>
      </c>
      <c r="R84" s="149" t="s">
        <v>24</v>
      </c>
      <c r="S84" s="149" t="s">
        <v>24</v>
      </c>
      <c r="T84" s="149" t="s">
        <v>24</v>
      </c>
      <c r="U84" s="149" t="s">
        <v>24</v>
      </c>
      <c r="V84" s="149" t="s">
        <v>24</v>
      </c>
      <c r="W84" s="149" t="s">
        <v>24</v>
      </c>
      <c r="X84" s="149" t="s">
        <v>24</v>
      </c>
      <c r="Y84" s="149" t="s">
        <v>24</v>
      </c>
      <c r="Z84" s="149" t="s">
        <v>24</v>
      </c>
      <c r="AA84" s="144"/>
      <c r="AB84" s="146" t="s">
        <v>511</v>
      </c>
      <c r="AC84" s="145" t="s">
        <v>512</v>
      </c>
      <c r="AD84" s="145" t="s">
        <v>513</v>
      </c>
      <c r="AE84" s="144" t="s">
        <v>12</v>
      </c>
      <c r="AF84" s="168">
        <f>AG84-30000</f>
        <v>16900</v>
      </c>
      <c r="AG84" s="168">
        <v>46900</v>
      </c>
      <c r="AH84" s="151" t="s">
        <v>6</v>
      </c>
      <c r="AI84" s="144" t="s">
        <v>105</v>
      </c>
      <c r="AJ84" s="144" t="s">
        <v>4</v>
      </c>
      <c r="AK84" s="144" t="s">
        <v>5861</v>
      </c>
      <c r="AL84" s="144" t="s">
        <v>17</v>
      </c>
      <c r="AM84" s="144" t="s">
        <v>5860</v>
      </c>
      <c r="AN84" s="144" t="s">
        <v>5877</v>
      </c>
      <c r="AO84" s="145"/>
      <c r="AP84" s="144"/>
      <c r="AQ84" s="144"/>
      <c r="AR84" s="144"/>
      <c r="AS84" s="144"/>
      <c r="AT84" s="144"/>
      <c r="AU84" s="144"/>
      <c r="AV84" s="144"/>
      <c r="AW84" s="144"/>
      <c r="AX84" s="148"/>
      <c r="AY84" s="149"/>
      <c r="AZ84" s="144"/>
      <c r="BA84" s="144"/>
      <c r="BB84" s="152" t="s">
        <v>5850</v>
      </c>
      <c r="BC84" s="153" t="str">
        <f>IF(AY84-ON84=0,"",AY84-O84)</f>
        <v/>
      </c>
      <c r="BD84" s="173"/>
    </row>
    <row r="85" spans="1:56" s="107" customFormat="1" ht="15" hidden="1" customHeight="1" x14ac:dyDescent="0.25">
      <c r="A85" s="144">
        <v>72</v>
      </c>
      <c r="B85" s="144" t="s">
        <v>99</v>
      </c>
      <c r="C85" s="144">
        <v>1</v>
      </c>
      <c r="D85" s="144">
        <v>0</v>
      </c>
      <c r="E85" s="144">
        <v>0</v>
      </c>
      <c r="F85" s="145" t="s">
        <v>515</v>
      </c>
      <c r="G85" s="144" t="s">
        <v>1</v>
      </c>
      <c r="H85" s="144" t="s">
        <v>2</v>
      </c>
      <c r="I85" s="144" t="s">
        <v>12</v>
      </c>
      <c r="J85" s="145" t="s">
        <v>516</v>
      </c>
      <c r="K85" s="146" t="s">
        <v>517</v>
      </c>
      <c r="L85" s="146" t="s">
        <v>518</v>
      </c>
      <c r="M85" s="147" t="s">
        <v>4</v>
      </c>
      <c r="N85" s="147" t="s">
        <v>5</v>
      </c>
      <c r="O85" s="148">
        <v>44900</v>
      </c>
      <c r="P85" s="149" t="s">
        <v>24</v>
      </c>
      <c r="Q85" s="149" t="s">
        <v>24</v>
      </c>
      <c r="R85" s="149" t="s">
        <v>24</v>
      </c>
      <c r="S85" s="149" t="s">
        <v>24</v>
      </c>
      <c r="T85" s="149" t="s">
        <v>24</v>
      </c>
      <c r="U85" s="149" t="s">
        <v>24</v>
      </c>
      <c r="V85" s="149" t="s">
        <v>24</v>
      </c>
      <c r="W85" s="149" t="s">
        <v>24</v>
      </c>
      <c r="X85" s="149" t="s">
        <v>24</v>
      </c>
      <c r="Y85" s="149" t="s">
        <v>24</v>
      </c>
      <c r="Z85" s="149" t="s">
        <v>24</v>
      </c>
      <c r="AA85" s="144"/>
      <c r="AB85" s="145" t="s">
        <v>516</v>
      </c>
      <c r="AC85" s="145" t="s">
        <v>517</v>
      </c>
      <c r="AD85" s="145" t="s">
        <v>518</v>
      </c>
      <c r="AE85" s="144" t="s">
        <v>12</v>
      </c>
      <c r="AF85" s="168">
        <v>23200</v>
      </c>
      <c r="AG85" s="168">
        <f>AF85+30000</f>
        <v>53200</v>
      </c>
      <c r="AH85" s="151" t="s">
        <v>6</v>
      </c>
      <c r="AI85" s="144" t="s">
        <v>105</v>
      </c>
      <c r="AJ85" s="144" t="s">
        <v>4</v>
      </c>
      <c r="AK85" s="144" t="s">
        <v>105</v>
      </c>
      <c r="AL85" s="144" t="s">
        <v>17</v>
      </c>
      <c r="AM85" s="144" t="s">
        <v>74</v>
      </c>
      <c r="AN85" s="144"/>
      <c r="AO85" s="145"/>
      <c r="AP85" s="144"/>
      <c r="AQ85" s="144"/>
      <c r="AR85" s="144"/>
      <c r="AS85" s="144"/>
      <c r="AT85" s="144"/>
      <c r="AU85" s="144"/>
      <c r="AV85" s="144"/>
      <c r="AW85" s="144"/>
      <c r="AX85" s="148"/>
      <c r="AY85" s="149"/>
      <c r="AZ85" s="144"/>
      <c r="BA85" s="144"/>
      <c r="BB85" s="152" t="s">
        <v>5850</v>
      </c>
      <c r="BC85" s="153" t="str">
        <f>IF(AY85-ON85=0,"",AY85-O85)</f>
        <v/>
      </c>
      <c r="BD85" s="173"/>
    </row>
    <row r="86" spans="1:56" s="107" customFormat="1" ht="15" hidden="1" customHeight="1" x14ac:dyDescent="0.25">
      <c r="A86" s="144">
        <v>73</v>
      </c>
      <c r="B86" s="144" t="s">
        <v>99</v>
      </c>
      <c r="C86" s="144">
        <v>2</v>
      </c>
      <c r="D86" s="144">
        <v>0</v>
      </c>
      <c r="E86" s="144">
        <v>0</v>
      </c>
      <c r="F86" s="192" t="s">
        <v>520</v>
      </c>
      <c r="G86" s="147" t="s">
        <v>1</v>
      </c>
      <c r="H86" s="147" t="s">
        <v>2</v>
      </c>
      <c r="I86" s="147" t="s">
        <v>139</v>
      </c>
      <c r="J86" s="146" t="s">
        <v>521</v>
      </c>
      <c r="K86" s="145"/>
      <c r="L86" s="145"/>
      <c r="M86" s="144"/>
      <c r="N86" s="167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4"/>
      <c r="AB86" s="145"/>
      <c r="AC86" s="145"/>
      <c r="AD86" s="145"/>
      <c r="AE86" s="144"/>
      <c r="AF86" s="168"/>
      <c r="AG86" s="168"/>
      <c r="AH86" s="144"/>
      <c r="AI86" s="144"/>
      <c r="AJ86" s="144"/>
      <c r="AK86" s="144"/>
      <c r="AL86" s="144"/>
      <c r="AM86" s="144"/>
      <c r="AN86" s="144"/>
      <c r="AO86" s="145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52"/>
      <c r="BC86" s="153"/>
      <c r="BD86" s="173"/>
    </row>
    <row r="87" spans="1:56" s="107" customFormat="1" ht="15" hidden="1" customHeight="1" x14ac:dyDescent="0.25">
      <c r="A87" s="144">
        <v>74</v>
      </c>
      <c r="B87" s="144" t="s">
        <v>99</v>
      </c>
      <c r="C87" s="144">
        <v>2</v>
      </c>
      <c r="D87" s="144">
        <v>0</v>
      </c>
      <c r="E87" s="144">
        <v>0</v>
      </c>
      <c r="F87" s="192" t="s">
        <v>525</v>
      </c>
      <c r="G87" s="147" t="s">
        <v>1</v>
      </c>
      <c r="H87" s="147" t="s">
        <v>2</v>
      </c>
      <c r="I87" s="147" t="s">
        <v>139</v>
      </c>
      <c r="J87" s="146" t="s">
        <v>526</v>
      </c>
      <c r="K87" s="145"/>
      <c r="L87" s="145"/>
      <c r="M87" s="144"/>
      <c r="N87" s="144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4"/>
      <c r="AB87" s="163"/>
      <c r="AC87" s="163"/>
      <c r="AD87" s="163"/>
      <c r="AE87" s="144"/>
      <c r="AF87" s="168"/>
      <c r="AG87" s="168"/>
      <c r="AH87" s="144"/>
      <c r="AI87" s="144"/>
      <c r="AJ87" s="144"/>
      <c r="AK87" s="144"/>
      <c r="AL87" s="144"/>
      <c r="AM87" s="144"/>
      <c r="AN87" s="144"/>
      <c r="AO87" s="163"/>
      <c r="AP87" s="144"/>
      <c r="AQ87" s="144"/>
      <c r="AR87" s="144"/>
      <c r="AS87" s="144"/>
      <c r="AT87" s="149"/>
      <c r="AU87" s="144"/>
      <c r="AV87" s="144"/>
      <c r="AW87" s="144"/>
      <c r="AX87" s="149"/>
      <c r="AY87" s="149"/>
      <c r="AZ87" s="149"/>
      <c r="BA87" s="144"/>
      <c r="BB87" s="152"/>
      <c r="BC87" s="153"/>
      <c r="BD87" s="173"/>
    </row>
    <row r="88" spans="1:56" s="107" customFormat="1" ht="15" hidden="1" customHeight="1" x14ac:dyDescent="0.25">
      <c r="A88" s="144">
        <v>75</v>
      </c>
      <c r="B88" s="144" t="s">
        <v>99</v>
      </c>
      <c r="C88" s="144">
        <v>2</v>
      </c>
      <c r="D88" s="144">
        <v>0</v>
      </c>
      <c r="E88" s="144">
        <v>0</v>
      </c>
      <c r="F88" s="192" t="s">
        <v>531</v>
      </c>
      <c r="G88" s="147" t="s">
        <v>1</v>
      </c>
      <c r="H88" s="147" t="s">
        <v>2</v>
      </c>
      <c r="I88" s="147" t="s">
        <v>139</v>
      </c>
      <c r="J88" s="146" t="s">
        <v>532</v>
      </c>
      <c r="K88" s="170"/>
      <c r="L88" s="170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70"/>
      <c r="AC88" s="170"/>
      <c r="AD88" s="170"/>
      <c r="AE88" s="169"/>
      <c r="AF88" s="170"/>
      <c r="AG88" s="170"/>
      <c r="AH88" s="169"/>
      <c r="AI88" s="169"/>
      <c r="AJ88" s="169"/>
      <c r="AK88" s="169"/>
      <c r="AL88" s="169"/>
      <c r="AM88" s="169"/>
      <c r="AN88" s="169"/>
      <c r="AO88" s="170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73"/>
    </row>
    <row r="89" spans="1:56" s="107" customFormat="1" ht="15" hidden="1" customHeight="1" x14ac:dyDescent="0.25">
      <c r="A89" s="144">
        <v>76</v>
      </c>
      <c r="B89" s="144" t="s">
        <v>99</v>
      </c>
      <c r="C89" s="144">
        <v>2</v>
      </c>
      <c r="D89" s="144">
        <v>0</v>
      </c>
      <c r="E89" s="144">
        <v>0</v>
      </c>
      <c r="F89" s="192" t="s">
        <v>535</v>
      </c>
      <c r="G89" s="147" t="s">
        <v>1</v>
      </c>
      <c r="H89" s="147" t="s">
        <v>2</v>
      </c>
      <c r="I89" s="147" t="s">
        <v>139</v>
      </c>
      <c r="J89" s="146" t="s">
        <v>536</v>
      </c>
      <c r="K89" s="170"/>
      <c r="L89" s="170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70"/>
      <c r="AC89" s="170"/>
      <c r="AD89" s="170"/>
      <c r="AE89" s="169"/>
      <c r="AF89" s="170"/>
      <c r="AG89" s="170"/>
      <c r="AH89" s="169"/>
      <c r="AI89" s="169"/>
      <c r="AJ89" s="169"/>
      <c r="AK89" s="169"/>
      <c r="AL89" s="169"/>
      <c r="AM89" s="169"/>
      <c r="AN89" s="169"/>
      <c r="AO89" s="170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73"/>
    </row>
    <row r="90" spans="1:56" s="107" customFormat="1" ht="15" hidden="1" customHeight="1" x14ac:dyDescent="0.25">
      <c r="A90" s="144">
        <v>77</v>
      </c>
      <c r="B90" s="144" t="s">
        <v>99</v>
      </c>
      <c r="C90" s="144">
        <v>2</v>
      </c>
      <c r="D90" s="144">
        <v>0</v>
      </c>
      <c r="E90" s="144">
        <v>0</v>
      </c>
      <c r="F90" s="192" t="s">
        <v>539</v>
      </c>
      <c r="G90" s="147" t="s">
        <v>1</v>
      </c>
      <c r="H90" s="147" t="s">
        <v>2</v>
      </c>
      <c r="I90" s="147" t="s">
        <v>139</v>
      </c>
      <c r="J90" s="146" t="s">
        <v>5878</v>
      </c>
      <c r="K90" s="170"/>
      <c r="L90" s="170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70"/>
      <c r="AC90" s="170"/>
      <c r="AD90" s="170"/>
      <c r="AE90" s="169"/>
      <c r="AF90" s="170"/>
      <c r="AG90" s="170"/>
      <c r="AH90" s="169"/>
      <c r="AI90" s="169"/>
      <c r="AJ90" s="169"/>
      <c r="AK90" s="169"/>
      <c r="AL90" s="169"/>
      <c r="AM90" s="169"/>
      <c r="AN90" s="169"/>
      <c r="AO90" s="170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73"/>
    </row>
    <row r="91" spans="1:56" s="107" customFormat="1" ht="15" hidden="1" customHeight="1" x14ac:dyDescent="0.25">
      <c r="A91" s="144">
        <v>78</v>
      </c>
      <c r="B91" s="144" t="s">
        <v>99</v>
      </c>
      <c r="C91" s="144">
        <v>2</v>
      </c>
      <c r="D91" s="144">
        <v>0</v>
      </c>
      <c r="E91" s="144">
        <v>0</v>
      </c>
      <c r="F91" s="192" t="s">
        <v>549</v>
      </c>
      <c r="G91" s="147" t="s">
        <v>1</v>
      </c>
      <c r="H91" s="147" t="s">
        <v>2</v>
      </c>
      <c r="I91" s="147" t="s">
        <v>139</v>
      </c>
      <c r="J91" s="146" t="s">
        <v>550</v>
      </c>
      <c r="K91" s="170"/>
      <c r="L91" s="170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70"/>
      <c r="AC91" s="170"/>
      <c r="AD91" s="170"/>
      <c r="AE91" s="169"/>
      <c r="AF91" s="170"/>
      <c r="AG91" s="170"/>
      <c r="AH91" s="169"/>
      <c r="AI91" s="169"/>
      <c r="AJ91" s="169"/>
      <c r="AK91" s="169"/>
      <c r="AL91" s="169"/>
      <c r="AM91" s="169"/>
      <c r="AN91" s="169"/>
      <c r="AO91" s="170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73"/>
    </row>
    <row r="92" spans="1:56" s="107" customFormat="1" ht="15" hidden="1" customHeight="1" x14ac:dyDescent="0.25">
      <c r="A92" s="144">
        <v>79</v>
      </c>
      <c r="B92" s="144" t="s">
        <v>99</v>
      </c>
      <c r="C92" s="144">
        <v>2</v>
      </c>
      <c r="D92" s="144">
        <v>0</v>
      </c>
      <c r="E92" s="144">
        <v>0</v>
      </c>
      <c r="F92" s="192" t="s">
        <v>557</v>
      </c>
      <c r="G92" s="147" t="s">
        <v>1</v>
      </c>
      <c r="H92" s="147" t="s">
        <v>2</v>
      </c>
      <c r="I92" s="147" t="s">
        <v>139</v>
      </c>
      <c r="J92" s="146" t="s">
        <v>562</v>
      </c>
      <c r="K92" s="170"/>
      <c r="L92" s="170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70"/>
      <c r="AC92" s="170"/>
      <c r="AD92" s="170"/>
      <c r="AE92" s="169"/>
      <c r="AF92" s="170"/>
      <c r="AG92" s="170"/>
      <c r="AH92" s="169"/>
      <c r="AI92" s="169"/>
      <c r="AJ92" s="169"/>
      <c r="AK92" s="169"/>
      <c r="AL92" s="169"/>
      <c r="AM92" s="169"/>
      <c r="AN92" s="169"/>
      <c r="AO92" s="170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73"/>
    </row>
    <row r="93" spans="1:56" s="107" customFormat="1" ht="15" hidden="1" customHeight="1" x14ac:dyDescent="0.25">
      <c r="A93" s="144">
        <v>80</v>
      </c>
      <c r="B93" s="144" t="s">
        <v>99</v>
      </c>
      <c r="C93" s="144">
        <v>2</v>
      </c>
      <c r="D93" s="144">
        <v>0</v>
      </c>
      <c r="E93" s="144">
        <v>0</v>
      </c>
      <c r="F93" s="192" t="s">
        <v>561</v>
      </c>
      <c r="G93" s="147" t="s">
        <v>1</v>
      </c>
      <c r="H93" s="147" t="s">
        <v>2</v>
      </c>
      <c r="I93" s="147" t="s">
        <v>139</v>
      </c>
      <c r="J93" s="146" t="s">
        <v>558</v>
      </c>
      <c r="K93" s="170"/>
      <c r="L93" s="170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70"/>
      <c r="AC93" s="170"/>
      <c r="AD93" s="170"/>
      <c r="AE93" s="169"/>
      <c r="AF93" s="170"/>
      <c r="AG93" s="170"/>
      <c r="AH93" s="169"/>
      <c r="AI93" s="169"/>
      <c r="AJ93" s="169"/>
      <c r="AK93" s="169"/>
      <c r="AL93" s="169"/>
      <c r="AM93" s="169"/>
      <c r="AN93" s="169"/>
      <c r="AO93" s="170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73"/>
    </row>
    <row r="94" spans="1:56" s="107" customFormat="1" ht="15" hidden="1" customHeight="1" x14ac:dyDescent="0.25">
      <c r="A94" s="144">
        <v>81</v>
      </c>
      <c r="B94" s="144" t="s">
        <v>99</v>
      </c>
      <c r="C94" s="144">
        <v>2</v>
      </c>
      <c r="D94" s="144">
        <v>0</v>
      </c>
      <c r="E94" s="144">
        <v>0</v>
      </c>
      <c r="F94" s="192" t="s">
        <v>566</v>
      </c>
      <c r="G94" s="147" t="s">
        <v>1</v>
      </c>
      <c r="H94" s="147" t="s">
        <v>2</v>
      </c>
      <c r="I94" s="147" t="s">
        <v>139</v>
      </c>
      <c r="J94" s="146" t="s">
        <v>5879</v>
      </c>
      <c r="K94" s="170"/>
      <c r="L94" s="170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70"/>
      <c r="AC94" s="170"/>
      <c r="AD94" s="170"/>
      <c r="AE94" s="169"/>
      <c r="AF94" s="170"/>
      <c r="AG94" s="170"/>
      <c r="AH94" s="169"/>
      <c r="AI94" s="169"/>
      <c r="AJ94" s="169"/>
      <c r="AK94" s="169"/>
      <c r="AL94" s="169"/>
      <c r="AM94" s="169"/>
      <c r="AN94" s="169"/>
      <c r="AO94" s="170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73"/>
    </row>
    <row r="95" spans="1:56" s="107" customFormat="1" ht="18" hidden="1" customHeight="1" x14ac:dyDescent="0.25">
      <c r="A95" s="144">
        <v>82</v>
      </c>
      <c r="B95" s="144" t="s">
        <v>99</v>
      </c>
      <c r="C95" s="144">
        <v>2</v>
      </c>
      <c r="D95" s="144">
        <v>0</v>
      </c>
      <c r="E95" s="144">
        <v>0</v>
      </c>
      <c r="F95" s="192" t="s">
        <v>571</v>
      </c>
      <c r="G95" s="147" t="s">
        <v>1</v>
      </c>
      <c r="H95" s="147" t="s">
        <v>2</v>
      </c>
      <c r="I95" s="147" t="s">
        <v>139</v>
      </c>
      <c r="J95" s="146" t="s">
        <v>572</v>
      </c>
      <c r="K95" s="170"/>
      <c r="L95" s="170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70"/>
      <c r="AC95" s="170"/>
      <c r="AD95" s="170"/>
      <c r="AE95" s="169"/>
      <c r="AF95" s="170"/>
      <c r="AG95" s="170"/>
      <c r="AH95" s="169"/>
      <c r="AI95" s="169"/>
      <c r="AJ95" s="169"/>
      <c r="AK95" s="169"/>
      <c r="AL95" s="169"/>
      <c r="AM95" s="169"/>
      <c r="AN95" s="169"/>
      <c r="AO95" s="170"/>
      <c r="AP95" s="169"/>
      <c r="AQ95" s="169"/>
      <c r="AR95" s="169"/>
      <c r="AS95" s="169"/>
      <c r="AT95" s="169"/>
      <c r="AU95" s="169"/>
      <c r="AV95" s="169"/>
      <c r="AW95" s="171"/>
      <c r="AX95" s="169"/>
      <c r="AY95" s="169"/>
      <c r="AZ95" s="169"/>
      <c r="BA95" s="169"/>
      <c r="BB95" s="169"/>
      <c r="BC95" s="169"/>
      <c r="BD95" s="173"/>
    </row>
    <row r="96" spans="1:56" s="107" customFormat="1" ht="15" hidden="1" customHeight="1" x14ac:dyDescent="0.25">
      <c r="A96" s="144">
        <v>83</v>
      </c>
      <c r="B96" s="144" t="s">
        <v>99</v>
      </c>
      <c r="C96" s="144">
        <v>2</v>
      </c>
      <c r="D96" s="144">
        <v>0</v>
      </c>
      <c r="E96" s="144">
        <v>0</v>
      </c>
      <c r="F96" s="192" t="s">
        <v>576</v>
      </c>
      <c r="G96" s="147" t="s">
        <v>1</v>
      </c>
      <c r="H96" s="147" t="s">
        <v>2</v>
      </c>
      <c r="I96" s="147" t="s">
        <v>139</v>
      </c>
      <c r="J96" s="146" t="s">
        <v>577</v>
      </c>
      <c r="K96" s="170"/>
      <c r="L96" s="170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70"/>
      <c r="AC96" s="170"/>
      <c r="AD96" s="170"/>
      <c r="AE96" s="169"/>
      <c r="AF96" s="170"/>
      <c r="AG96" s="170"/>
      <c r="AH96" s="169"/>
      <c r="AI96" s="169"/>
      <c r="AJ96" s="169"/>
      <c r="AK96" s="169"/>
      <c r="AL96" s="169"/>
      <c r="AM96" s="169"/>
      <c r="AN96" s="169"/>
      <c r="AO96" s="170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73"/>
    </row>
    <row r="97" spans="1:55" ht="15" hidden="1" customHeight="1" x14ac:dyDescent="0.25">
      <c r="A97" s="144">
        <v>84</v>
      </c>
      <c r="B97" s="144" t="s">
        <v>99</v>
      </c>
      <c r="C97" s="144">
        <v>2</v>
      </c>
      <c r="D97" s="144">
        <v>0</v>
      </c>
      <c r="E97" s="144">
        <v>0</v>
      </c>
      <c r="F97" s="192" t="s">
        <v>581</v>
      </c>
      <c r="G97" s="147" t="s">
        <v>1</v>
      </c>
      <c r="H97" s="147" t="s">
        <v>2</v>
      </c>
      <c r="I97" s="147" t="s">
        <v>139</v>
      </c>
      <c r="J97" s="146" t="s">
        <v>139</v>
      </c>
      <c r="K97" s="170"/>
      <c r="L97" s="170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70"/>
      <c r="AC97" s="170"/>
      <c r="AD97" s="170"/>
      <c r="AE97" s="169"/>
      <c r="AF97" s="170"/>
      <c r="AG97" s="170"/>
      <c r="AH97" s="169"/>
      <c r="AI97" s="169"/>
      <c r="AJ97" s="169"/>
      <c r="AK97" s="169"/>
      <c r="AL97" s="169"/>
      <c r="AM97" s="169"/>
      <c r="AN97" s="169"/>
      <c r="AO97" s="170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</row>
    <row r="98" spans="1:55" ht="15" hidden="1" customHeight="1" x14ac:dyDescent="0.25">
      <c r="A98" s="144">
        <v>85</v>
      </c>
      <c r="B98" s="144" t="s">
        <v>99</v>
      </c>
      <c r="C98" s="144">
        <v>2</v>
      </c>
      <c r="D98" s="144">
        <v>0</v>
      </c>
      <c r="E98" s="144">
        <v>0</v>
      </c>
      <c r="F98" s="192" t="s">
        <v>582</v>
      </c>
      <c r="G98" s="147" t="s">
        <v>1</v>
      </c>
      <c r="H98" s="147" t="s">
        <v>2</v>
      </c>
      <c r="I98" s="147" t="s">
        <v>139</v>
      </c>
      <c r="J98" s="146" t="s">
        <v>583</v>
      </c>
      <c r="K98" s="170"/>
      <c r="L98" s="170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70"/>
      <c r="AC98" s="170"/>
      <c r="AD98" s="170"/>
      <c r="AE98" s="169"/>
      <c r="AF98" s="170"/>
      <c r="AG98" s="170"/>
      <c r="AH98" s="169"/>
      <c r="AI98" s="169"/>
      <c r="AJ98" s="169"/>
      <c r="AK98" s="169"/>
      <c r="AL98" s="169"/>
      <c r="AM98" s="169"/>
      <c r="AN98" s="169"/>
      <c r="AO98" s="170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</row>
    <row r="99" spans="1:55" ht="15" hidden="1" customHeight="1" x14ac:dyDescent="0.25">
      <c r="A99" s="144">
        <v>86</v>
      </c>
      <c r="B99" s="144" t="s">
        <v>99</v>
      </c>
      <c r="C99" s="144">
        <v>2</v>
      </c>
      <c r="D99" s="144">
        <v>0</v>
      </c>
      <c r="E99" s="144">
        <v>0</v>
      </c>
      <c r="F99" s="192" t="s">
        <v>587</v>
      </c>
      <c r="G99" s="147" t="s">
        <v>1</v>
      </c>
      <c r="H99" s="147" t="s">
        <v>366</v>
      </c>
      <c r="I99" s="147" t="s">
        <v>139</v>
      </c>
      <c r="J99" s="146" t="s">
        <v>588</v>
      </c>
      <c r="K99" s="170"/>
      <c r="L99" s="170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70"/>
      <c r="AC99" s="170"/>
      <c r="AD99" s="170"/>
      <c r="AE99" s="169"/>
      <c r="AF99" s="170"/>
      <c r="AG99" s="170"/>
      <c r="AH99" s="169"/>
      <c r="AI99" s="169"/>
      <c r="AJ99" s="169"/>
      <c r="AK99" s="169"/>
      <c r="AL99" s="169"/>
      <c r="AM99" s="169"/>
      <c r="AN99" s="169"/>
      <c r="AO99" s="170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</row>
    <row r="100" spans="1:55" ht="15" hidden="1" customHeight="1" x14ac:dyDescent="0.25">
      <c r="A100" s="144">
        <v>87</v>
      </c>
      <c r="B100" s="144" t="s">
        <v>99</v>
      </c>
      <c r="C100" s="144">
        <v>2</v>
      </c>
      <c r="D100" s="144">
        <v>0</v>
      </c>
      <c r="E100" s="144">
        <v>0</v>
      </c>
      <c r="F100" s="192" t="s">
        <v>593</v>
      </c>
      <c r="G100" s="147" t="s">
        <v>1</v>
      </c>
      <c r="H100" s="147" t="s">
        <v>2</v>
      </c>
      <c r="I100" s="147" t="s">
        <v>139</v>
      </c>
      <c r="J100" s="146" t="s">
        <v>588</v>
      </c>
      <c r="K100" s="170"/>
      <c r="L100" s="170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70"/>
      <c r="AC100" s="170"/>
      <c r="AD100" s="170"/>
      <c r="AE100" s="169"/>
      <c r="AF100" s="170"/>
      <c r="AG100" s="170"/>
      <c r="AH100" s="169"/>
      <c r="AI100" s="169"/>
      <c r="AJ100" s="169"/>
      <c r="AK100" s="169"/>
      <c r="AL100" s="169"/>
      <c r="AM100" s="169"/>
      <c r="AN100" s="169"/>
      <c r="AO100" s="170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</row>
    <row r="101" spans="1:55" ht="15" hidden="1" customHeight="1" x14ac:dyDescent="0.25">
      <c r="A101" s="144">
        <v>88</v>
      </c>
      <c r="B101" s="144" t="s">
        <v>99</v>
      </c>
      <c r="C101" s="144">
        <v>2</v>
      </c>
      <c r="D101" s="144">
        <v>0</v>
      </c>
      <c r="E101" s="144">
        <v>0</v>
      </c>
      <c r="F101" s="192" t="s">
        <v>595</v>
      </c>
      <c r="G101" s="147" t="s">
        <v>1</v>
      </c>
      <c r="H101" s="147" t="s">
        <v>2</v>
      </c>
      <c r="I101" s="147" t="s">
        <v>139</v>
      </c>
      <c r="J101" s="146" t="s">
        <v>599</v>
      </c>
      <c r="K101" s="170"/>
      <c r="L101" s="170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70"/>
      <c r="AC101" s="170"/>
      <c r="AD101" s="170"/>
      <c r="AE101" s="169"/>
      <c r="AF101" s="170"/>
      <c r="AG101" s="170"/>
      <c r="AH101" s="169"/>
      <c r="AI101" s="169"/>
      <c r="AJ101" s="169"/>
      <c r="AK101" s="169"/>
      <c r="AL101" s="169"/>
      <c r="AM101" s="169"/>
      <c r="AN101" s="169"/>
      <c r="AO101" s="170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</row>
    <row r="102" spans="1:55" ht="15" hidden="1" customHeight="1" x14ac:dyDescent="0.25">
      <c r="A102" s="144">
        <v>89</v>
      </c>
      <c r="B102" s="144" t="s">
        <v>99</v>
      </c>
      <c r="C102" s="144">
        <v>2</v>
      </c>
      <c r="D102" s="144">
        <v>0</v>
      </c>
      <c r="E102" s="144">
        <v>0</v>
      </c>
      <c r="F102" s="192" t="s">
        <v>603</v>
      </c>
      <c r="G102" s="147" t="s">
        <v>1</v>
      </c>
      <c r="H102" s="147" t="s">
        <v>2</v>
      </c>
      <c r="I102" s="147" t="s">
        <v>139</v>
      </c>
      <c r="J102" s="146" t="s">
        <v>5880</v>
      </c>
      <c r="K102" s="170"/>
      <c r="L102" s="170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70"/>
      <c r="AC102" s="170"/>
      <c r="AD102" s="170"/>
      <c r="AE102" s="169"/>
      <c r="AF102" s="170"/>
      <c r="AG102" s="170"/>
      <c r="AH102" s="169"/>
      <c r="AI102" s="169"/>
      <c r="AJ102" s="169"/>
      <c r="AK102" s="169"/>
      <c r="AL102" s="169"/>
      <c r="AM102" s="169"/>
      <c r="AN102" s="169"/>
      <c r="AO102" s="170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</row>
    <row r="103" spans="1:55" ht="15" hidden="1" customHeight="1" x14ac:dyDescent="0.25">
      <c r="A103" s="144">
        <v>90</v>
      </c>
      <c r="B103" s="144" t="s">
        <v>99</v>
      </c>
      <c r="C103" s="144">
        <v>2</v>
      </c>
      <c r="D103" s="144">
        <v>0</v>
      </c>
      <c r="E103" s="144">
        <v>0</v>
      </c>
      <c r="F103" s="192" t="s">
        <v>611</v>
      </c>
      <c r="G103" s="147" t="s">
        <v>1</v>
      </c>
      <c r="H103" s="147" t="s">
        <v>2</v>
      </c>
      <c r="I103" s="147" t="s">
        <v>139</v>
      </c>
      <c r="J103" s="146" t="s">
        <v>612</v>
      </c>
      <c r="K103" s="170"/>
      <c r="L103" s="170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70"/>
      <c r="AC103" s="170"/>
      <c r="AD103" s="170"/>
      <c r="AE103" s="169"/>
      <c r="AF103" s="170"/>
      <c r="AG103" s="170"/>
      <c r="AH103" s="169"/>
      <c r="AI103" s="169"/>
      <c r="AJ103" s="169"/>
      <c r="AK103" s="169"/>
      <c r="AL103" s="169"/>
      <c r="AM103" s="169"/>
      <c r="AN103" s="169"/>
      <c r="AO103" s="170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</row>
    <row r="104" spans="1:55" ht="15" hidden="1" customHeight="1" x14ac:dyDescent="0.25">
      <c r="A104" s="144">
        <v>91</v>
      </c>
      <c r="B104" s="144" t="s">
        <v>99</v>
      </c>
      <c r="C104" s="144">
        <v>2</v>
      </c>
      <c r="D104" s="144">
        <v>0</v>
      </c>
      <c r="E104" s="144">
        <v>0</v>
      </c>
      <c r="F104" s="192" t="s">
        <v>616</v>
      </c>
      <c r="G104" s="147" t="s">
        <v>1</v>
      </c>
      <c r="H104" s="147" t="s">
        <v>2</v>
      </c>
      <c r="I104" s="147" t="s">
        <v>139</v>
      </c>
      <c r="J104" s="146" t="s">
        <v>617</v>
      </c>
      <c r="K104" s="170"/>
      <c r="L104" s="170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70"/>
      <c r="AC104" s="170"/>
      <c r="AD104" s="170"/>
      <c r="AE104" s="169"/>
      <c r="AF104" s="170"/>
      <c r="AG104" s="170"/>
      <c r="AH104" s="169"/>
      <c r="AI104" s="169"/>
      <c r="AJ104" s="169"/>
      <c r="AK104" s="169"/>
      <c r="AL104" s="169"/>
      <c r="AM104" s="169"/>
      <c r="AN104" s="169"/>
      <c r="AO104" s="170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</row>
    <row r="105" spans="1:55" ht="15" hidden="1" customHeight="1" x14ac:dyDescent="0.25">
      <c r="A105" s="144">
        <v>92</v>
      </c>
      <c r="B105" s="144" t="s">
        <v>99</v>
      </c>
      <c r="C105" s="144">
        <v>2</v>
      </c>
      <c r="D105" s="144">
        <v>0</v>
      </c>
      <c r="E105" s="144">
        <v>0</v>
      </c>
      <c r="F105" s="192" t="s">
        <v>623</v>
      </c>
      <c r="G105" s="147" t="s">
        <v>1</v>
      </c>
      <c r="H105" s="147" t="s">
        <v>2</v>
      </c>
      <c r="I105" s="147" t="s">
        <v>139</v>
      </c>
      <c r="J105" s="146" t="s">
        <v>5881</v>
      </c>
      <c r="K105" s="170"/>
      <c r="L105" s="170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70"/>
      <c r="AC105" s="170"/>
      <c r="AD105" s="170"/>
      <c r="AE105" s="169"/>
      <c r="AF105" s="170"/>
      <c r="AG105" s="170"/>
      <c r="AH105" s="169"/>
      <c r="AI105" s="169"/>
      <c r="AJ105" s="169"/>
      <c r="AK105" s="169"/>
      <c r="AL105" s="169"/>
      <c r="AM105" s="169"/>
      <c r="AN105" s="169"/>
      <c r="AO105" s="170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</row>
    <row r="106" spans="1:55" ht="15" hidden="1" customHeight="1" x14ac:dyDescent="0.25">
      <c r="A106" s="144">
        <v>93</v>
      </c>
      <c r="B106" s="144" t="s">
        <v>99</v>
      </c>
      <c r="C106" s="144">
        <v>2</v>
      </c>
      <c r="D106" s="144">
        <v>0</v>
      </c>
      <c r="E106" s="144">
        <v>0</v>
      </c>
      <c r="F106" s="192" t="s">
        <v>625</v>
      </c>
      <c r="G106" s="147" t="s">
        <v>1</v>
      </c>
      <c r="H106" s="147" t="s">
        <v>2</v>
      </c>
      <c r="I106" s="147" t="s">
        <v>139</v>
      </c>
      <c r="J106" s="146" t="s">
        <v>626</v>
      </c>
      <c r="K106" s="170"/>
      <c r="L106" s="170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70"/>
      <c r="AC106" s="170"/>
      <c r="AD106" s="170"/>
      <c r="AE106" s="169"/>
      <c r="AF106" s="170"/>
      <c r="AG106" s="170"/>
      <c r="AH106" s="169"/>
      <c r="AI106" s="169"/>
      <c r="AJ106" s="169"/>
      <c r="AK106" s="169"/>
      <c r="AL106" s="169"/>
      <c r="AM106" s="169"/>
      <c r="AN106" s="169"/>
      <c r="AO106" s="170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</row>
    <row r="107" spans="1:55" ht="15" hidden="1" customHeight="1" x14ac:dyDescent="0.25">
      <c r="A107" s="144">
        <v>94</v>
      </c>
      <c r="B107" s="144" t="s">
        <v>99</v>
      </c>
      <c r="C107" s="144">
        <v>2</v>
      </c>
      <c r="D107" s="144">
        <v>0</v>
      </c>
      <c r="E107" s="144">
        <v>0</v>
      </c>
      <c r="F107" s="192" t="s">
        <v>629</v>
      </c>
      <c r="G107" s="147" t="s">
        <v>1</v>
      </c>
      <c r="H107" s="147" t="s">
        <v>2</v>
      </c>
      <c r="I107" s="147" t="s">
        <v>139</v>
      </c>
      <c r="J107" s="146" t="s">
        <v>633</v>
      </c>
      <c r="K107" s="170"/>
      <c r="L107" s="170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70"/>
      <c r="AC107" s="170"/>
      <c r="AD107" s="170"/>
      <c r="AE107" s="169"/>
      <c r="AF107" s="170"/>
      <c r="AG107" s="170"/>
      <c r="AH107" s="169"/>
      <c r="AI107" s="169"/>
      <c r="AJ107" s="169"/>
      <c r="AK107" s="169"/>
      <c r="AL107" s="169"/>
      <c r="AM107" s="169"/>
      <c r="AN107" s="169"/>
      <c r="AO107" s="170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</row>
    <row r="108" spans="1:55" ht="15" hidden="1" customHeight="1" x14ac:dyDescent="0.25">
      <c r="A108" s="144">
        <v>95</v>
      </c>
      <c r="B108" s="144" t="s">
        <v>99</v>
      </c>
      <c r="C108" s="144">
        <v>1</v>
      </c>
      <c r="D108" s="144">
        <v>0</v>
      </c>
      <c r="E108" s="144">
        <v>0</v>
      </c>
      <c r="F108" s="145" t="s">
        <v>1173</v>
      </c>
      <c r="G108" s="144" t="s">
        <v>1</v>
      </c>
      <c r="H108" s="144" t="s">
        <v>2</v>
      </c>
      <c r="I108" s="144" t="s">
        <v>12</v>
      </c>
      <c r="J108" s="146" t="s">
        <v>1174</v>
      </c>
      <c r="K108" s="146" t="s">
        <v>1175</v>
      </c>
      <c r="L108" s="146" t="s">
        <v>1176</v>
      </c>
      <c r="M108" s="147" t="s">
        <v>4</v>
      </c>
      <c r="N108" s="147" t="s">
        <v>5</v>
      </c>
      <c r="O108" s="148">
        <v>44900</v>
      </c>
      <c r="P108" s="149" t="s">
        <v>24</v>
      </c>
      <c r="Q108" s="149" t="s">
        <v>24</v>
      </c>
      <c r="R108" s="149" t="s">
        <v>24</v>
      </c>
      <c r="S108" s="149" t="s">
        <v>24</v>
      </c>
      <c r="T108" s="149" t="s">
        <v>24</v>
      </c>
      <c r="U108" s="149" t="s">
        <v>24</v>
      </c>
      <c r="V108" s="149" t="s">
        <v>24</v>
      </c>
      <c r="W108" s="149" t="s">
        <v>24</v>
      </c>
      <c r="X108" s="149" t="s">
        <v>24</v>
      </c>
      <c r="Y108" s="149" t="s">
        <v>24</v>
      </c>
      <c r="Z108" s="149" t="s">
        <v>24</v>
      </c>
      <c r="AA108" s="144"/>
      <c r="AB108" s="146" t="s">
        <v>1174</v>
      </c>
      <c r="AC108" s="145" t="s">
        <v>1175</v>
      </c>
      <c r="AD108" s="145" t="s">
        <v>1176</v>
      </c>
      <c r="AE108" s="144" t="s">
        <v>12</v>
      </c>
      <c r="AF108" s="168">
        <v>0</v>
      </c>
      <c r="AG108" s="168">
        <v>60000</v>
      </c>
      <c r="AH108" s="151" t="s">
        <v>6</v>
      </c>
      <c r="AI108" s="144" t="s">
        <v>105</v>
      </c>
      <c r="AJ108" s="144" t="s">
        <v>4</v>
      </c>
      <c r="AK108" s="144" t="s">
        <v>105</v>
      </c>
      <c r="AL108" s="144" t="s">
        <v>105</v>
      </c>
      <c r="AM108" s="144" t="s">
        <v>106</v>
      </c>
      <c r="AN108" s="144"/>
      <c r="AO108" s="145" t="s">
        <v>1177</v>
      </c>
      <c r="AP108" s="144" t="s">
        <v>105</v>
      </c>
      <c r="AQ108" s="144" t="s">
        <v>105</v>
      </c>
      <c r="AR108" s="144" t="s">
        <v>105</v>
      </c>
      <c r="AS108" s="144" t="s">
        <v>105</v>
      </c>
      <c r="AT108" s="148">
        <v>44922</v>
      </c>
      <c r="AU108" s="144" t="s">
        <v>105</v>
      </c>
      <c r="AV108" s="144" t="s">
        <v>105</v>
      </c>
      <c r="AW108" s="144" t="s">
        <v>105</v>
      </c>
      <c r="AX108" s="148">
        <v>44956</v>
      </c>
      <c r="AY108" s="148">
        <v>44956</v>
      </c>
      <c r="AZ108" s="144" t="s">
        <v>220</v>
      </c>
      <c r="BA108" s="144" t="s">
        <v>1</v>
      </c>
      <c r="BB108" s="152" t="s">
        <v>105</v>
      </c>
      <c r="BC108" s="153">
        <f t="shared" ref="BC108:BC116" si="3">IF(AY108-ON108=0,"",AY108-O108)</f>
        <v>56</v>
      </c>
    </row>
    <row r="109" spans="1:55" ht="15" hidden="1" customHeight="1" x14ac:dyDescent="0.25">
      <c r="A109" s="144">
        <v>96</v>
      </c>
      <c r="B109" s="144" t="s">
        <v>99</v>
      </c>
      <c r="C109" s="144">
        <v>1</v>
      </c>
      <c r="D109" s="144">
        <v>0</v>
      </c>
      <c r="E109" s="144">
        <v>0</v>
      </c>
      <c r="F109" s="145" t="s">
        <v>1178</v>
      </c>
      <c r="G109" s="144" t="s">
        <v>1</v>
      </c>
      <c r="H109" s="144" t="s">
        <v>2</v>
      </c>
      <c r="I109" s="144" t="s">
        <v>12</v>
      </c>
      <c r="J109" s="146" t="s">
        <v>1179</v>
      </c>
      <c r="K109" s="146" t="s">
        <v>1180</v>
      </c>
      <c r="L109" s="146" t="s">
        <v>1181</v>
      </c>
      <c r="M109" s="147" t="s">
        <v>4</v>
      </c>
      <c r="N109" s="147" t="s">
        <v>5</v>
      </c>
      <c r="O109" s="148">
        <v>44900</v>
      </c>
      <c r="P109" s="149" t="s">
        <v>24</v>
      </c>
      <c r="Q109" s="149" t="s">
        <v>24</v>
      </c>
      <c r="R109" s="149" t="s">
        <v>24</v>
      </c>
      <c r="S109" s="149" t="s">
        <v>24</v>
      </c>
      <c r="T109" s="149" t="s">
        <v>24</v>
      </c>
      <c r="U109" s="149" t="s">
        <v>24</v>
      </c>
      <c r="V109" s="149" t="s">
        <v>24</v>
      </c>
      <c r="W109" s="149" t="s">
        <v>24</v>
      </c>
      <c r="X109" s="149" t="s">
        <v>24</v>
      </c>
      <c r="Y109" s="149" t="s">
        <v>24</v>
      </c>
      <c r="Z109" s="149" t="s">
        <v>24</v>
      </c>
      <c r="AA109" s="144"/>
      <c r="AB109" s="146" t="s">
        <v>1179</v>
      </c>
      <c r="AC109" s="145" t="s">
        <v>1180</v>
      </c>
      <c r="AD109" s="145" t="s">
        <v>1181</v>
      </c>
      <c r="AE109" s="144" t="s">
        <v>12</v>
      </c>
      <c r="AF109" s="168">
        <f>AG109-30000</f>
        <v>29300</v>
      </c>
      <c r="AG109" s="168">
        <v>59300</v>
      </c>
      <c r="AH109" s="151" t="s">
        <v>6</v>
      </c>
      <c r="AI109" s="144" t="s">
        <v>105</v>
      </c>
      <c r="AJ109" s="144" t="s">
        <v>4</v>
      </c>
      <c r="AK109" s="144" t="s">
        <v>105</v>
      </c>
      <c r="AL109" s="144" t="s">
        <v>105</v>
      </c>
      <c r="AM109" s="144" t="s">
        <v>106</v>
      </c>
      <c r="AN109" s="144"/>
      <c r="AO109" s="145" t="s">
        <v>1182</v>
      </c>
      <c r="AP109" s="144" t="s">
        <v>105</v>
      </c>
      <c r="AQ109" s="144" t="s">
        <v>105</v>
      </c>
      <c r="AR109" s="144" t="s">
        <v>105</v>
      </c>
      <c r="AS109" s="144" t="s">
        <v>105</v>
      </c>
      <c r="AT109" s="148">
        <v>44922</v>
      </c>
      <c r="AU109" s="144" t="s">
        <v>105</v>
      </c>
      <c r="AV109" s="144" t="s">
        <v>105</v>
      </c>
      <c r="AW109" s="144" t="s">
        <v>105</v>
      </c>
      <c r="AX109" s="148">
        <v>44924</v>
      </c>
      <c r="AY109" s="148">
        <v>44924</v>
      </c>
      <c r="AZ109" s="144" t="s">
        <v>220</v>
      </c>
      <c r="BA109" s="144" t="s">
        <v>1</v>
      </c>
      <c r="BB109" s="152" t="s">
        <v>105</v>
      </c>
      <c r="BC109" s="153">
        <f t="shared" si="3"/>
        <v>24</v>
      </c>
    </row>
    <row r="110" spans="1:55" ht="15" hidden="1" customHeight="1" x14ac:dyDescent="0.25">
      <c r="A110" s="144">
        <v>97</v>
      </c>
      <c r="B110" s="144" t="s">
        <v>99</v>
      </c>
      <c r="C110" s="144">
        <v>1</v>
      </c>
      <c r="D110" s="144">
        <v>0</v>
      </c>
      <c r="E110" s="144">
        <v>0</v>
      </c>
      <c r="F110" s="145" t="s">
        <v>1183</v>
      </c>
      <c r="G110" s="144" t="s">
        <v>1</v>
      </c>
      <c r="H110" s="144" t="s">
        <v>2</v>
      </c>
      <c r="I110" s="144" t="s">
        <v>12</v>
      </c>
      <c r="J110" s="146" t="s">
        <v>1184</v>
      </c>
      <c r="K110" s="146" t="s">
        <v>1185</v>
      </c>
      <c r="L110" s="146" t="s">
        <v>1186</v>
      </c>
      <c r="M110" s="147" t="s">
        <v>4</v>
      </c>
      <c r="N110" s="147" t="s">
        <v>5</v>
      </c>
      <c r="O110" s="148">
        <v>44900</v>
      </c>
      <c r="P110" s="149" t="s">
        <v>24</v>
      </c>
      <c r="Q110" s="149" t="s">
        <v>24</v>
      </c>
      <c r="R110" s="149" t="s">
        <v>24</v>
      </c>
      <c r="S110" s="149" t="s">
        <v>24</v>
      </c>
      <c r="T110" s="149" t="s">
        <v>24</v>
      </c>
      <c r="U110" s="149" t="s">
        <v>24</v>
      </c>
      <c r="V110" s="149" t="s">
        <v>24</v>
      </c>
      <c r="W110" s="149" t="s">
        <v>24</v>
      </c>
      <c r="X110" s="149" t="s">
        <v>24</v>
      </c>
      <c r="Y110" s="149" t="s">
        <v>24</v>
      </c>
      <c r="Z110" s="149" t="s">
        <v>24</v>
      </c>
      <c r="AA110" s="144"/>
      <c r="AB110" s="146" t="s">
        <v>1184</v>
      </c>
      <c r="AC110" s="145" t="s">
        <v>1185</v>
      </c>
      <c r="AD110" s="145" t="s">
        <v>1186</v>
      </c>
      <c r="AE110" s="144" t="s">
        <v>12</v>
      </c>
      <c r="AF110" s="168">
        <v>0</v>
      </c>
      <c r="AG110" s="168">
        <v>229800</v>
      </c>
      <c r="AH110" s="151" t="s">
        <v>6</v>
      </c>
      <c r="AI110" s="144" t="s">
        <v>105</v>
      </c>
      <c r="AJ110" s="144" t="s">
        <v>4</v>
      </c>
      <c r="AK110" s="144" t="s">
        <v>105</v>
      </c>
      <c r="AL110" s="144" t="s">
        <v>17</v>
      </c>
      <c r="AM110" s="144" t="s">
        <v>74</v>
      </c>
      <c r="AN110" s="144" t="s">
        <v>5877</v>
      </c>
      <c r="AO110" s="145"/>
      <c r="AP110" s="144"/>
      <c r="AQ110" s="144"/>
      <c r="AR110" s="144"/>
      <c r="AS110" s="144"/>
      <c r="AT110" s="144"/>
      <c r="AU110" s="144"/>
      <c r="AV110" s="144"/>
      <c r="AW110" s="144"/>
      <c r="AX110" s="148"/>
      <c r="AY110" s="149"/>
      <c r="AZ110" s="144"/>
      <c r="BA110" s="144"/>
      <c r="BB110" s="152" t="s">
        <v>5850</v>
      </c>
      <c r="BC110" s="153" t="str">
        <f t="shared" si="3"/>
        <v/>
      </c>
    </row>
    <row r="111" spans="1:55" ht="15" hidden="1" customHeight="1" x14ac:dyDescent="0.25">
      <c r="A111" s="144">
        <v>98</v>
      </c>
      <c r="B111" s="144" t="s">
        <v>99</v>
      </c>
      <c r="C111" s="144">
        <v>1</v>
      </c>
      <c r="D111" s="144">
        <v>0</v>
      </c>
      <c r="E111" s="144">
        <v>0</v>
      </c>
      <c r="F111" s="145" t="s">
        <v>1189</v>
      </c>
      <c r="G111" s="144" t="s">
        <v>26</v>
      </c>
      <c r="H111" s="144" t="s">
        <v>2</v>
      </c>
      <c r="I111" s="144" t="s">
        <v>360</v>
      </c>
      <c r="J111" s="146" t="s">
        <v>1184</v>
      </c>
      <c r="K111" s="145" t="s">
        <v>1185</v>
      </c>
      <c r="L111" s="145" t="s">
        <v>1186</v>
      </c>
      <c r="M111" s="147" t="s">
        <v>17</v>
      </c>
      <c r="N111" s="147" t="s">
        <v>17</v>
      </c>
      <c r="O111" s="148">
        <v>44900</v>
      </c>
      <c r="P111" s="149" t="s">
        <v>139</v>
      </c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4"/>
      <c r="AB111" s="146" t="s">
        <v>1184</v>
      </c>
      <c r="AC111" s="145" t="s">
        <v>1185</v>
      </c>
      <c r="AD111" s="145" t="s">
        <v>1186</v>
      </c>
      <c r="AE111" s="144" t="s">
        <v>3</v>
      </c>
      <c r="AF111" s="168">
        <v>27200</v>
      </c>
      <c r="AG111" s="168">
        <f>AF111+30000</f>
        <v>57200</v>
      </c>
      <c r="AH111" s="151"/>
      <c r="AI111" s="144"/>
      <c r="AJ111" s="144" t="s">
        <v>139</v>
      </c>
      <c r="AK111" s="144"/>
      <c r="AL111" s="144"/>
      <c r="AM111" s="144"/>
      <c r="AN111" s="144"/>
      <c r="AO111" s="145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9"/>
      <c r="AZ111" s="144"/>
      <c r="BA111" s="144"/>
      <c r="BB111" s="152"/>
      <c r="BC111" s="153" t="str">
        <f t="shared" si="3"/>
        <v/>
      </c>
    </row>
    <row r="112" spans="1:55" ht="15" customHeight="1" x14ac:dyDescent="0.25">
      <c r="A112" s="144">
        <v>99</v>
      </c>
      <c r="B112" s="144" t="s">
        <v>99</v>
      </c>
      <c r="C112" s="144">
        <v>1</v>
      </c>
      <c r="D112" s="144">
        <v>0</v>
      </c>
      <c r="E112" s="144">
        <v>0</v>
      </c>
      <c r="F112" s="145" t="s">
        <v>1199</v>
      </c>
      <c r="G112" s="144" t="s">
        <v>1</v>
      </c>
      <c r="H112" s="144" t="s">
        <v>2</v>
      </c>
      <c r="I112" s="144" t="s">
        <v>12</v>
      </c>
      <c r="J112" s="146" t="s">
        <v>1200</v>
      </c>
      <c r="K112" s="146" t="s">
        <v>1201</v>
      </c>
      <c r="L112" s="146" t="s">
        <v>1202</v>
      </c>
      <c r="M112" s="147" t="s">
        <v>4</v>
      </c>
      <c r="N112" s="147" t="s">
        <v>5</v>
      </c>
      <c r="O112" s="148">
        <v>44900</v>
      </c>
      <c r="P112" s="149" t="s">
        <v>24</v>
      </c>
      <c r="Q112" s="149" t="s">
        <v>24</v>
      </c>
      <c r="R112" s="149" t="s">
        <v>24</v>
      </c>
      <c r="S112" s="149" t="s">
        <v>24</v>
      </c>
      <c r="T112" s="149" t="s">
        <v>24</v>
      </c>
      <c r="U112" s="149" t="s">
        <v>24</v>
      </c>
      <c r="V112" s="149" t="s">
        <v>24</v>
      </c>
      <c r="W112" s="149" t="s">
        <v>24</v>
      </c>
      <c r="X112" s="149" t="s">
        <v>24</v>
      </c>
      <c r="Y112" s="149" t="s">
        <v>24</v>
      </c>
      <c r="Z112" s="149" t="s">
        <v>24</v>
      </c>
      <c r="AA112" s="144"/>
      <c r="AB112" s="146" t="s">
        <v>1200</v>
      </c>
      <c r="AC112" s="146" t="s">
        <v>1201</v>
      </c>
      <c r="AD112" s="146" t="s">
        <v>1202</v>
      </c>
      <c r="AE112" s="144" t="s">
        <v>12</v>
      </c>
      <c r="AF112" s="168">
        <v>1400</v>
      </c>
      <c r="AG112" s="168">
        <v>31400</v>
      </c>
      <c r="AH112" s="151" t="s">
        <v>6</v>
      </c>
      <c r="AI112" s="144" t="s">
        <v>105</v>
      </c>
      <c r="AJ112" s="144" t="s">
        <v>4</v>
      </c>
      <c r="AK112" s="144" t="s">
        <v>105</v>
      </c>
      <c r="AL112" s="144" t="s">
        <v>105</v>
      </c>
      <c r="AM112" s="144" t="s">
        <v>106</v>
      </c>
      <c r="AN112" s="172"/>
      <c r="AO112" s="145" t="s">
        <v>1203</v>
      </c>
      <c r="AP112" s="144" t="s">
        <v>105</v>
      </c>
      <c r="AQ112" s="144" t="s">
        <v>105</v>
      </c>
      <c r="AR112" s="144" t="s">
        <v>5851</v>
      </c>
      <c r="AS112" s="144"/>
      <c r="AT112" s="144"/>
      <c r="AU112" s="144"/>
      <c r="AV112" s="144"/>
      <c r="AW112" s="144"/>
      <c r="AX112" s="148"/>
      <c r="AY112" s="149"/>
      <c r="AZ112" s="144"/>
      <c r="BA112" s="144"/>
      <c r="BB112" s="152" t="s">
        <v>5855</v>
      </c>
      <c r="BC112" s="153" t="str">
        <f t="shared" si="3"/>
        <v/>
      </c>
    </row>
    <row r="113" spans="1:55" ht="15" hidden="1" customHeight="1" x14ac:dyDescent="0.25">
      <c r="A113" s="144">
        <v>100</v>
      </c>
      <c r="B113" s="144" t="s">
        <v>99</v>
      </c>
      <c r="C113" s="144">
        <v>1</v>
      </c>
      <c r="D113" s="144">
        <v>0</v>
      </c>
      <c r="E113" s="144">
        <v>0</v>
      </c>
      <c r="F113" s="145" t="s">
        <v>1204</v>
      </c>
      <c r="G113" s="144" t="s">
        <v>1</v>
      </c>
      <c r="H113" s="144" t="s">
        <v>2</v>
      </c>
      <c r="I113" s="144" t="s">
        <v>12</v>
      </c>
      <c r="J113" s="166" t="s">
        <v>1205</v>
      </c>
      <c r="K113" s="146" t="s">
        <v>1206</v>
      </c>
      <c r="L113" s="146" t="s">
        <v>1207</v>
      </c>
      <c r="M113" s="147" t="s">
        <v>4</v>
      </c>
      <c r="N113" s="147" t="s">
        <v>17</v>
      </c>
      <c r="O113" s="148">
        <v>44900</v>
      </c>
      <c r="P113" s="149" t="s">
        <v>139</v>
      </c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4"/>
      <c r="AB113" s="166" t="s">
        <v>1205</v>
      </c>
      <c r="AC113" s="145" t="s">
        <v>1206</v>
      </c>
      <c r="AD113" s="145" t="s">
        <v>1207</v>
      </c>
      <c r="AE113" s="144" t="s">
        <v>12</v>
      </c>
      <c r="AF113" s="168">
        <v>900</v>
      </c>
      <c r="AG113" s="168">
        <v>30900</v>
      </c>
      <c r="AH113" s="151"/>
      <c r="AI113" s="144"/>
      <c r="AJ113" s="144" t="s">
        <v>139</v>
      </c>
      <c r="AK113" s="144"/>
      <c r="AL113" s="144"/>
      <c r="AM113" s="144"/>
      <c r="AN113" s="144"/>
      <c r="AO113" s="145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9"/>
      <c r="AZ113" s="144"/>
      <c r="BA113" s="144"/>
      <c r="BB113" s="152"/>
      <c r="BC113" s="153" t="str">
        <f t="shared" si="3"/>
        <v/>
      </c>
    </row>
    <row r="114" spans="1:55" ht="15" hidden="1" customHeight="1" x14ac:dyDescent="0.25">
      <c r="A114" s="144">
        <v>101</v>
      </c>
      <c r="B114" s="144" t="s">
        <v>99</v>
      </c>
      <c r="C114" s="144">
        <v>1</v>
      </c>
      <c r="D114" s="144">
        <v>0</v>
      </c>
      <c r="E114" s="144">
        <v>0</v>
      </c>
      <c r="F114" s="145" t="s">
        <v>1208</v>
      </c>
      <c r="G114" s="144" t="s">
        <v>1</v>
      </c>
      <c r="H114" s="144" t="s">
        <v>2</v>
      </c>
      <c r="I114" s="144" t="s">
        <v>12</v>
      </c>
      <c r="J114" s="146" t="s">
        <v>1209</v>
      </c>
      <c r="K114" s="146" t="s">
        <v>139</v>
      </c>
      <c r="L114" s="146" t="s">
        <v>139</v>
      </c>
      <c r="M114" s="147" t="s">
        <v>17</v>
      </c>
      <c r="N114" s="147" t="s">
        <v>17</v>
      </c>
      <c r="O114" s="148">
        <v>44900</v>
      </c>
      <c r="P114" s="149" t="s">
        <v>139</v>
      </c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89" t="s">
        <v>1210</v>
      </c>
      <c r="AB114" s="146" t="s">
        <v>1209</v>
      </c>
      <c r="AC114" s="145" t="s">
        <v>139</v>
      </c>
      <c r="AD114" s="145" t="s">
        <v>139</v>
      </c>
      <c r="AE114" s="144" t="s">
        <v>12</v>
      </c>
      <c r="AF114" s="168">
        <v>600</v>
      </c>
      <c r="AG114" s="168">
        <v>30600</v>
      </c>
      <c r="AH114" s="151"/>
      <c r="AI114" s="144"/>
      <c r="AJ114" s="144" t="s">
        <v>139</v>
      </c>
      <c r="AK114" s="144"/>
      <c r="AL114" s="144"/>
      <c r="AM114" s="144"/>
      <c r="AN114" s="189" t="s">
        <v>1210</v>
      </c>
      <c r="AO114" s="145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9"/>
      <c r="AZ114" s="144"/>
      <c r="BA114" s="144"/>
      <c r="BB114" s="189" t="s">
        <v>1210</v>
      </c>
      <c r="BC114" s="153" t="str">
        <f t="shared" si="3"/>
        <v/>
      </c>
    </row>
    <row r="115" spans="1:55" ht="15" hidden="1" customHeight="1" x14ac:dyDescent="0.25">
      <c r="A115" s="144">
        <v>102</v>
      </c>
      <c r="B115" s="144" t="s">
        <v>99</v>
      </c>
      <c r="C115" s="144">
        <v>1</v>
      </c>
      <c r="D115" s="144">
        <v>0</v>
      </c>
      <c r="E115" s="144">
        <v>0</v>
      </c>
      <c r="F115" s="145" t="s">
        <v>1211</v>
      </c>
      <c r="G115" s="144" t="s">
        <v>1</v>
      </c>
      <c r="H115" s="144" t="s">
        <v>2</v>
      </c>
      <c r="I115" s="144" t="s">
        <v>12</v>
      </c>
      <c r="J115" s="146" t="s">
        <v>1212</v>
      </c>
      <c r="K115" s="146" t="s">
        <v>1213</v>
      </c>
      <c r="L115" s="146" t="s">
        <v>1214</v>
      </c>
      <c r="M115" s="147" t="s">
        <v>17</v>
      </c>
      <c r="N115" s="147" t="s">
        <v>17</v>
      </c>
      <c r="O115" s="148">
        <v>44900</v>
      </c>
      <c r="P115" s="149" t="s">
        <v>139</v>
      </c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4"/>
      <c r="AB115" s="146" t="s">
        <v>1212</v>
      </c>
      <c r="AC115" s="145" t="s">
        <v>1213</v>
      </c>
      <c r="AD115" s="145" t="s">
        <v>1214</v>
      </c>
      <c r="AE115" s="144" t="s">
        <v>12</v>
      </c>
      <c r="AF115" s="168">
        <v>600</v>
      </c>
      <c r="AG115" s="168">
        <v>30600</v>
      </c>
      <c r="AH115" s="151"/>
      <c r="AI115" s="144"/>
      <c r="AJ115" s="144" t="s">
        <v>139</v>
      </c>
      <c r="AK115" s="144"/>
      <c r="AL115" s="144"/>
      <c r="AM115" s="144"/>
      <c r="AN115" s="144"/>
      <c r="AO115" s="145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9"/>
      <c r="AZ115" s="144"/>
      <c r="BA115" s="144"/>
      <c r="BB115" s="152"/>
      <c r="BC115" s="153" t="str">
        <f t="shared" si="3"/>
        <v/>
      </c>
    </row>
    <row r="116" spans="1:55" ht="15" customHeight="1" x14ac:dyDescent="0.25">
      <c r="A116" s="144">
        <v>103</v>
      </c>
      <c r="B116" s="144" t="s">
        <v>99</v>
      </c>
      <c r="C116" s="144">
        <v>1</v>
      </c>
      <c r="D116" s="144">
        <v>0</v>
      </c>
      <c r="E116" s="144">
        <v>0</v>
      </c>
      <c r="F116" s="145" t="s">
        <v>1216</v>
      </c>
      <c r="G116" s="144" t="s">
        <v>1</v>
      </c>
      <c r="H116" s="144" t="s">
        <v>2</v>
      </c>
      <c r="I116" s="144" t="s">
        <v>12</v>
      </c>
      <c r="J116" s="145" t="s">
        <v>1217</v>
      </c>
      <c r="K116" s="146" t="s">
        <v>1218</v>
      </c>
      <c r="L116" s="146" t="s">
        <v>1219</v>
      </c>
      <c r="M116" s="147" t="s">
        <v>4</v>
      </c>
      <c r="N116" s="147" t="s">
        <v>5</v>
      </c>
      <c r="O116" s="148">
        <v>44900</v>
      </c>
      <c r="P116" s="149" t="s">
        <v>24</v>
      </c>
      <c r="Q116" s="149" t="s">
        <v>24</v>
      </c>
      <c r="R116" s="149" t="s">
        <v>24</v>
      </c>
      <c r="S116" s="149" t="s">
        <v>24</v>
      </c>
      <c r="T116" s="149" t="s">
        <v>24</v>
      </c>
      <c r="U116" s="149" t="s">
        <v>24</v>
      </c>
      <c r="V116" s="149" t="s">
        <v>24</v>
      </c>
      <c r="W116" s="149" t="s">
        <v>24</v>
      </c>
      <c r="X116" s="149" t="s">
        <v>24</v>
      </c>
      <c r="Y116" s="149" t="s">
        <v>24</v>
      </c>
      <c r="Z116" s="149" t="s">
        <v>24</v>
      </c>
      <c r="AA116" s="144"/>
      <c r="AB116" s="145" t="s">
        <v>1217</v>
      </c>
      <c r="AC116" s="146" t="s">
        <v>1218</v>
      </c>
      <c r="AD116" s="146" t="s">
        <v>1219</v>
      </c>
      <c r="AE116" s="144" t="s">
        <v>12</v>
      </c>
      <c r="AF116" s="168">
        <v>400</v>
      </c>
      <c r="AG116" s="168">
        <v>30400</v>
      </c>
      <c r="AH116" s="151" t="s">
        <v>6</v>
      </c>
      <c r="AI116" s="144" t="s">
        <v>105</v>
      </c>
      <c r="AJ116" s="144" t="s">
        <v>4</v>
      </c>
      <c r="AK116" s="144" t="s">
        <v>105</v>
      </c>
      <c r="AL116" s="144" t="s">
        <v>105</v>
      </c>
      <c r="AM116" s="144" t="s">
        <v>106</v>
      </c>
      <c r="AN116" s="144"/>
      <c r="AO116" s="145" t="s">
        <v>1220</v>
      </c>
      <c r="AP116" s="144" t="s">
        <v>105</v>
      </c>
      <c r="AQ116" s="144" t="s">
        <v>105</v>
      </c>
      <c r="AR116" s="144" t="s">
        <v>5851</v>
      </c>
      <c r="AS116" s="144"/>
      <c r="AT116" s="144"/>
      <c r="AU116" s="144"/>
      <c r="AV116" s="144"/>
      <c r="AW116" s="144"/>
      <c r="AX116" s="148"/>
      <c r="AY116" s="149"/>
      <c r="AZ116" s="144"/>
      <c r="BA116" s="144"/>
      <c r="BB116" s="152" t="s">
        <v>5855</v>
      </c>
      <c r="BC116" s="153" t="str">
        <f t="shared" si="3"/>
        <v/>
      </c>
    </row>
    <row r="117" spans="1:55" ht="15" customHeight="1" x14ac:dyDescent="0.25">
      <c r="A117" s="144"/>
      <c r="B117" s="169"/>
      <c r="C117" s="169"/>
      <c r="D117" s="169"/>
      <c r="E117" s="169"/>
      <c r="F117" s="170"/>
      <c r="G117" s="169"/>
      <c r="H117" s="169"/>
      <c r="I117" s="169"/>
      <c r="J117" s="170"/>
      <c r="K117" s="170"/>
      <c r="L117" s="170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70"/>
      <c r="AC117" s="170"/>
      <c r="AD117" s="170"/>
      <c r="AE117" s="169"/>
      <c r="AF117" s="170"/>
      <c r="AG117" s="170"/>
      <c r="AH117" s="169"/>
      <c r="AI117" s="169"/>
      <c r="AJ117" s="169"/>
      <c r="AK117" s="169"/>
      <c r="AL117" s="169"/>
      <c r="AM117" s="169"/>
      <c r="AN117" s="169"/>
      <c r="AO117" s="170"/>
      <c r="AP117" s="169"/>
      <c r="AQ117" s="169"/>
      <c r="AR117" s="169"/>
      <c r="AS117" s="169"/>
      <c r="AT117" s="169"/>
      <c r="AU117" s="169"/>
      <c r="AV117" s="169"/>
      <c r="AW117" s="169"/>
      <c r="AX117" s="176"/>
      <c r="AY117" s="169"/>
      <c r="AZ117" s="169"/>
      <c r="BA117" s="169"/>
      <c r="BB117" s="169"/>
      <c r="BC117" s="169"/>
    </row>
    <row r="118" spans="1:55" ht="15" customHeight="1" x14ac:dyDescent="0.25">
      <c r="A118" s="144"/>
      <c r="B118" s="169"/>
      <c r="C118" s="169"/>
      <c r="D118" s="169"/>
      <c r="E118" s="169"/>
      <c r="F118" s="170"/>
      <c r="G118" s="169"/>
      <c r="H118" s="169"/>
      <c r="I118" s="169"/>
      <c r="J118" s="170"/>
      <c r="K118" s="170"/>
      <c r="L118" s="170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70"/>
      <c r="AC118" s="170"/>
      <c r="AD118" s="170"/>
      <c r="AE118" s="169"/>
      <c r="AF118" s="170"/>
      <c r="AG118" s="170"/>
      <c r="AH118" s="169"/>
      <c r="AI118" s="169"/>
      <c r="AJ118" s="169"/>
      <c r="AK118" s="169"/>
      <c r="AL118" s="169"/>
      <c r="AM118" s="169"/>
      <c r="AN118" s="169"/>
      <c r="AO118" s="170"/>
      <c r="AP118" s="169"/>
      <c r="AQ118" s="169"/>
      <c r="AR118" s="169"/>
      <c r="AS118" s="169"/>
      <c r="AT118" s="169"/>
      <c r="AU118" s="169"/>
      <c r="AV118" s="169"/>
      <c r="AW118" s="169"/>
      <c r="AX118" s="176"/>
      <c r="AY118" s="169"/>
      <c r="AZ118" s="169"/>
      <c r="BA118" s="169"/>
      <c r="BB118" s="169"/>
      <c r="BC118" s="169"/>
    </row>
    <row r="119" spans="1:55" ht="15" customHeight="1" x14ac:dyDescent="0.25">
      <c r="A119" s="144"/>
      <c r="B119" s="169"/>
      <c r="C119" s="169"/>
      <c r="D119" s="169"/>
      <c r="E119" s="169"/>
      <c r="F119" s="170"/>
      <c r="G119" s="169"/>
      <c r="H119" s="169"/>
      <c r="I119" s="169"/>
      <c r="J119" s="170"/>
      <c r="K119" s="170"/>
      <c r="L119" s="170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70"/>
      <c r="AC119" s="170"/>
      <c r="AD119" s="170"/>
      <c r="AE119" s="169"/>
      <c r="AF119" s="170"/>
      <c r="AG119" s="170"/>
      <c r="AH119" s="169"/>
      <c r="AI119" s="169"/>
      <c r="AJ119" s="169"/>
      <c r="AK119" s="169"/>
      <c r="AL119" s="169"/>
      <c r="AM119" s="169"/>
      <c r="AN119" s="169"/>
      <c r="AO119" s="170"/>
      <c r="AP119" s="169"/>
      <c r="AQ119" s="169"/>
      <c r="AR119" s="169"/>
      <c r="AS119" s="169"/>
      <c r="AT119" s="169"/>
      <c r="AU119" s="169"/>
      <c r="AV119" s="169"/>
      <c r="AW119" s="169"/>
      <c r="AX119" s="176"/>
      <c r="AY119" s="169"/>
      <c r="AZ119" s="169"/>
      <c r="BA119" s="169"/>
      <c r="BB119" s="169"/>
      <c r="BC119" s="169"/>
    </row>
    <row r="120" spans="1:55" ht="15" customHeight="1" x14ac:dyDescent="0.25">
      <c r="A120" s="144"/>
      <c r="B120" s="169"/>
      <c r="C120" s="169"/>
      <c r="D120" s="169"/>
      <c r="E120" s="169"/>
      <c r="F120" s="170"/>
      <c r="G120" s="169"/>
      <c r="H120" s="169"/>
      <c r="I120" s="169"/>
      <c r="J120" s="170"/>
      <c r="K120" s="170"/>
      <c r="L120" s="170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70"/>
      <c r="AC120" s="170"/>
      <c r="AD120" s="170"/>
      <c r="AE120" s="169"/>
      <c r="AF120" s="170"/>
      <c r="AG120" s="170"/>
      <c r="AH120" s="169"/>
      <c r="AI120" s="169"/>
      <c r="AJ120" s="169"/>
      <c r="AK120" s="169"/>
      <c r="AL120" s="169"/>
      <c r="AM120" s="169"/>
      <c r="AN120" s="169"/>
      <c r="AO120" s="170"/>
      <c r="AP120" s="169"/>
      <c r="AQ120" s="169"/>
      <c r="AR120" s="169"/>
      <c r="AS120" s="169"/>
      <c r="AT120" s="169"/>
      <c r="AU120" s="169"/>
      <c r="AV120" s="169"/>
      <c r="AW120" s="169"/>
      <c r="AX120" s="176"/>
      <c r="AY120" s="169"/>
      <c r="AZ120" s="169"/>
      <c r="BA120" s="169"/>
      <c r="BB120" s="169"/>
      <c r="BC120" s="169"/>
    </row>
    <row r="121" spans="1:55" ht="15" customHeight="1" x14ac:dyDescent="0.25">
      <c r="A121" s="144"/>
      <c r="B121" s="169"/>
      <c r="C121" s="169"/>
      <c r="D121" s="169"/>
      <c r="E121" s="169"/>
      <c r="F121" s="170"/>
      <c r="G121" s="169"/>
      <c r="H121" s="169"/>
      <c r="I121" s="169"/>
      <c r="J121" s="170"/>
      <c r="K121" s="170"/>
      <c r="L121" s="170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70"/>
      <c r="AC121" s="170"/>
      <c r="AD121" s="170"/>
      <c r="AE121" s="169"/>
      <c r="AF121" s="170"/>
      <c r="AG121" s="170"/>
      <c r="AH121" s="169"/>
      <c r="AI121" s="169"/>
      <c r="AJ121" s="169"/>
      <c r="AK121" s="169"/>
      <c r="AL121" s="169"/>
      <c r="AM121" s="169"/>
      <c r="AN121" s="169"/>
      <c r="AO121" s="170"/>
      <c r="AP121" s="169"/>
      <c r="AQ121" s="169"/>
      <c r="AR121" s="169"/>
      <c r="AS121" s="169"/>
      <c r="AT121" s="169"/>
      <c r="AU121" s="169"/>
      <c r="AV121" s="169"/>
      <c r="AW121" s="169"/>
      <c r="AX121" s="176"/>
      <c r="AY121" s="169"/>
      <c r="AZ121" s="169"/>
      <c r="BA121" s="169"/>
      <c r="BB121" s="169"/>
      <c r="BC121" s="169"/>
    </row>
    <row r="122" spans="1:55" ht="15" customHeight="1" x14ac:dyDescent="0.25">
      <c r="A122" s="144"/>
      <c r="B122" s="169"/>
      <c r="C122" s="169"/>
      <c r="D122" s="169"/>
      <c r="E122" s="169"/>
      <c r="F122" s="170"/>
      <c r="G122" s="169"/>
      <c r="H122" s="169"/>
      <c r="I122" s="169"/>
      <c r="J122" s="170"/>
      <c r="K122" s="170"/>
      <c r="L122" s="170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70"/>
      <c r="AC122" s="170"/>
      <c r="AD122" s="170"/>
      <c r="AE122" s="169"/>
      <c r="AF122" s="170"/>
      <c r="AG122" s="170"/>
      <c r="AH122" s="169"/>
      <c r="AI122" s="169"/>
      <c r="AJ122" s="169"/>
      <c r="AK122" s="169"/>
      <c r="AL122" s="169"/>
      <c r="AM122" s="169"/>
      <c r="AN122" s="169"/>
      <c r="AO122" s="170"/>
      <c r="AP122" s="169"/>
      <c r="AQ122" s="169"/>
      <c r="AR122" s="169"/>
      <c r="AS122" s="169"/>
      <c r="AT122" s="169"/>
      <c r="AU122" s="169"/>
      <c r="AV122" s="169"/>
      <c r="AW122" s="169"/>
      <c r="AX122" s="176"/>
      <c r="AY122" s="169"/>
      <c r="AZ122" s="169"/>
      <c r="BA122" s="169"/>
      <c r="BB122" s="169"/>
      <c r="BC122" s="169"/>
    </row>
    <row r="123" spans="1:55" ht="15" customHeight="1" x14ac:dyDescent="0.25">
      <c r="A123" s="144"/>
      <c r="B123" s="169"/>
      <c r="C123" s="169"/>
      <c r="D123" s="169"/>
      <c r="E123" s="169"/>
      <c r="F123" s="170"/>
      <c r="G123" s="169"/>
      <c r="H123" s="169"/>
      <c r="I123" s="169"/>
      <c r="J123" s="170"/>
      <c r="K123" s="170"/>
      <c r="L123" s="170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70"/>
      <c r="AC123" s="170"/>
      <c r="AD123" s="170"/>
      <c r="AE123" s="169"/>
      <c r="AF123" s="170"/>
      <c r="AG123" s="170"/>
      <c r="AH123" s="169"/>
      <c r="AI123" s="169"/>
      <c r="AJ123" s="169"/>
      <c r="AK123" s="169"/>
      <c r="AL123" s="169"/>
      <c r="AM123" s="169"/>
      <c r="AN123" s="169"/>
      <c r="AO123" s="170"/>
      <c r="AP123" s="169"/>
      <c r="AQ123" s="169"/>
      <c r="AR123" s="169"/>
      <c r="AS123" s="169"/>
      <c r="AT123" s="169"/>
      <c r="AU123" s="169"/>
      <c r="AV123" s="169"/>
      <c r="AW123" s="169"/>
      <c r="AX123" s="176"/>
      <c r="AY123" s="169"/>
      <c r="AZ123" s="169"/>
      <c r="BA123" s="169"/>
      <c r="BB123" s="169"/>
      <c r="BC123" s="169"/>
    </row>
    <row r="124" spans="1:55" ht="15" customHeight="1" x14ac:dyDescent="0.25">
      <c r="A124" s="144"/>
      <c r="B124" s="169"/>
      <c r="C124" s="169"/>
      <c r="D124" s="169"/>
      <c r="E124" s="169"/>
      <c r="F124" s="170"/>
      <c r="G124" s="169"/>
      <c r="H124" s="169"/>
      <c r="I124" s="169"/>
      <c r="J124" s="170"/>
      <c r="K124" s="170"/>
      <c r="L124" s="170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70"/>
      <c r="AC124" s="170"/>
      <c r="AD124" s="170"/>
      <c r="AE124" s="169"/>
      <c r="AF124" s="170"/>
      <c r="AG124" s="170"/>
      <c r="AH124" s="169"/>
      <c r="AI124" s="169"/>
      <c r="AJ124" s="169"/>
      <c r="AK124" s="169"/>
      <c r="AL124" s="169"/>
      <c r="AM124" s="169"/>
      <c r="AN124" s="169"/>
      <c r="AO124" s="170"/>
      <c r="AP124" s="169"/>
      <c r="AQ124" s="169"/>
      <c r="AR124" s="169"/>
      <c r="AS124" s="169"/>
      <c r="AT124" s="169"/>
      <c r="AU124" s="169"/>
      <c r="AV124" s="169"/>
      <c r="AW124" s="169"/>
      <c r="AX124" s="176"/>
      <c r="AY124" s="169"/>
      <c r="AZ124" s="169"/>
      <c r="BA124" s="169"/>
      <c r="BB124" s="169"/>
      <c r="BC124" s="169"/>
    </row>
    <row r="125" spans="1:55" ht="15" customHeight="1" x14ac:dyDescent="0.25">
      <c r="A125" s="144"/>
      <c r="B125" s="169"/>
      <c r="C125" s="169"/>
      <c r="D125" s="169"/>
      <c r="E125" s="169"/>
      <c r="F125" s="170"/>
      <c r="G125" s="169"/>
      <c r="H125" s="169"/>
      <c r="I125" s="169"/>
      <c r="J125" s="170"/>
      <c r="K125" s="170"/>
      <c r="L125" s="170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70"/>
      <c r="AC125" s="170"/>
      <c r="AD125" s="170"/>
      <c r="AE125" s="169"/>
      <c r="AF125" s="170"/>
      <c r="AG125" s="170"/>
      <c r="AH125" s="169"/>
      <c r="AI125" s="169"/>
      <c r="AJ125" s="169"/>
      <c r="AK125" s="169"/>
      <c r="AL125" s="169"/>
      <c r="AM125" s="169"/>
      <c r="AN125" s="169"/>
      <c r="AO125" s="170"/>
      <c r="AP125" s="169"/>
      <c r="AQ125" s="169"/>
      <c r="AR125" s="169"/>
      <c r="AS125" s="169"/>
      <c r="AT125" s="169"/>
      <c r="AU125" s="169"/>
      <c r="AV125" s="169"/>
      <c r="AW125" s="169"/>
      <c r="AX125" s="176"/>
      <c r="AY125" s="169"/>
      <c r="AZ125" s="169"/>
      <c r="BA125" s="169"/>
      <c r="BB125" s="169"/>
      <c r="BC125" s="169"/>
    </row>
    <row r="126" spans="1:55" ht="15" customHeight="1" x14ac:dyDescent="0.25">
      <c r="A126" s="144"/>
      <c r="B126" s="169"/>
      <c r="C126" s="169"/>
      <c r="D126" s="169"/>
      <c r="E126" s="169"/>
      <c r="F126" s="170"/>
      <c r="G126" s="169"/>
      <c r="H126" s="169"/>
      <c r="I126" s="169"/>
      <c r="J126" s="170"/>
      <c r="K126" s="170"/>
      <c r="L126" s="170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70"/>
      <c r="AC126" s="170"/>
      <c r="AD126" s="170"/>
      <c r="AE126" s="169"/>
      <c r="AF126" s="170"/>
      <c r="AG126" s="170"/>
      <c r="AH126" s="169"/>
      <c r="AI126" s="169"/>
      <c r="AJ126" s="169"/>
      <c r="AK126" s="169"/>
      <c r="AL126" s="169"/>
      <c r="AM126" s="169"/>
      <c r="AN126" s="169"/>
      <c r="AO126" s="170"/>
      <c r="AP126" s="169"/>
      <c r="AQ126" s="169"/>
      <c r="AR126" s="169"/>
      <c r="AS126" s="169"/>
      <c r="AT126" s="169"/>
      <c r="AU126" s="169"/>
      <c r="AV126" s="169"/>
      <c r="AW126" s="169"/>
      <c r="AX126" s="176"/>
      <c r="AY126" s="169"/>
      <c r="AZ126" s="169"/>
      <c r="BA126" s="169"/>
      <c r="BB126" s="169"/>
      <c r="BC126" s="169"/>
    </row>
    <row r="127" spans="1:55" ht="15" customHeight="1" x14ac:dyDescent="0.25">
      <c r="A127" s="144"/>
      <c r="B127" s="169"/>
      <c r="C127" s="169"/>
      <c r="D127" s="169"/>
      <c r="E127" s="169"/>
      <c r="F127" s="170"/>
      <c r="G127" s="247" t="s">
        <v>128</v>
      </c>
      <c r="H127" s="215" t="s">
        <v>107</v>
      </c>
      <c r="I127" s="169"/>
      <c r="J127" s="170"/>
      <c r="K127" s="170"/>
      <c r="L127" s="170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70"/>
      <c r="AC127" s="170"/>
      <c r="AD127" s="170"/>
      <c r="AE127" s="169"/>
      <c r="AF127" s="170"/>
      <c r="AG127" s="170"/>
      <c r="AH127" s="169"/>
      <c r="AI127" s="169"/>
      <c r="AJ127" s="169"/>
      <c r="AK127" s="169"/>
      <c r="AL127" s="169"/>
      <c r="AM127" s="169"/>
      <c r="AN127" s="169"/>
      <c r="AO127" s="170"/>
      <c r="AP127" s="169"/>
      <c r="AQ127" s="169"/>
      <c r="AR127" s="169"/>
      <c r="AS127" s="169"/>
      <c r="AT127" s="169"/>
      <c r="AU127" s="169"/>
      <c r="AV127" s="169"/>
      <c r="AW127" s="169"/>
      <c r="AX127" s="176"/>
      <c r="AY127" s="169"/>
      <c r="AZ127" s="169"/>
      <c r="BA127" s="169"/>
      <c r="BB127" s="169"/>
      <c r="BC127" s="169"/>
    </row>
    <row r="128" spans="1:55" ht="15" customHeight="1" x14ac:dyDescent="0.25">
      <c r="A128" s="144"/>
      <c r="B128" s="169"/>
      <c r="C128" s="169"/>
      <c r="D128" s="169"/>
      <c r="E128" s="169"/>
      <c r="F128" s="170"/>
      <c r="G128" s="248" t="s">
        <v>136</v>
      </c>
      <c r="H128" s="219" t="s">
        <v>128</v>
      </c>
      <c r="I128" s="169"/>
      <c r="J128" s="170"/>
      <c r="K128" s="170"/>
      <c r="L128" s="170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70"/>
      <c r="AC128" s="170"/>
      <c r="AD128" s="170"/>
      <c r="AE128" s="169"/>
      <c r="AF128" s="170"/>
      <c r="AG128" s="170"/>
      <c r="AH128" s="169"/>
      <c r="AI128" s="169"/>
      <c r="AJ128" s="169"/>
      <c r="AK128" s="169"/>
      <c r="AL128" s="169"/>
      <c r="AM128" s="169"/>
      <c r="AN128" s="169"/>
      <c r="AO128" s="170"/>
      <c r="AP128" s="169"/>
      <c r="AQ128" s="169"/>
      <c r="AR128" s="169"/>
      <c r="AS128" s="169"/>
      <c r="AT128" s="169"/>
      <c r="AU128" s="169"/>
      <c r="AV128" s="169"/>
      <c r="AW128" s="169"/>
      <c r="AX128" s="176"/>
      <c r="AY128" s="169"/>
      <c r="AZ128" s="169"/>
      <c r="BA128" s="169"/>
      <c r="BB128" s="169"/>
      <c r="BC128" s="169"/>
    </row>
    <row r="129" spans="1:55" ht="15" customHeight="1" x14ac:dyDescent="0.25">
      <c r="A129" s="144"/>
      <c r="B129" s="169"/>
      <c r="C129" s="169"/>
      <c r="D129" s="169"/>
      <c r="E129" s="169"/>
      <c r="F129" s="170"/>
      <c r="G129" s="248" t="s">
        <v>143</v>
      </c>
      <c r="H129" s="219" t="s">
        <v>136</v>
      </c>
      <c r="I129" s="169"/>
      <c r="J129" s="170"/>
      <c r="K129" s="170"/>
      <c r="L129" s="170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70"/>
      <c r="AC129" s="170"/>
      <c r="AD129" s="170"/>
      <c r="AE129" s="169"/>
      <c r="AF129" s="170"/>
      <c r="AG129" s="170"/>
      <c r="AH129" s="169"/>
      <c r="AI129" s="169"/>
      <c r="AJ129" s="169"/>
      <c r="AK129" s="169"/>
      <c r="AL129" s="169"/>
      <c r="AM129" s="169"/>
      <c r="AN129" s="169"/>
      <c r="AO129" s="170"/>
      <c r="AP129" s="169"/>
      <c r="AQ129" s="169"/>
      <c r="AR129" s="169"/>
      <c r="AS129" s="169"/>
      <c r="AT129" s="169"/>
      <c r="AU129" s="169"/>
      <c r="AV129" s="169"/>
      <c r="AW129" s="169"/>
      <c r="AX129" s="176"/>
      <c r="AY129" s="169"/>
      <c r="AZ129" s="169"/>
      <c r="BA129" s="169"/>
      <c r="BB129" s="169"/>
      <c r="BC129" s="169"/>
    </row>
    <row r="130" spans="1:55" ht="15" customHeight="1" x14ac:dyDescent="0.25">
      <c r="A130" s="144"/>
      <c r="B130" s="169"/>
      <c r="C130" s="169"/>
      <c r="D130" s="169"/>
      <c r="E130" s="169"/>
      <c r="F130" s="170"/>
      <c r="G130" s="248" t="s">
        <v>175</v>
      </c>
      <c r="H130" s="219" t="s">
        <v>143</v>
      </c>
      <c r="I130" s="169"/>
      <c r="J130" s="170"/>
      <c r="K130" s="170"/>
      <c r="L130" s="170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70"/>
      <c r="AC130" s="170"/>
      <c r="AD130" s="170"/>
      <c r="AE130" s="169"/>
      <c r="AF130" s="170"/>
      <c r="AG130" s="170"/>
      <c r="AH130" s="169"/>
      <c r="AI130" s="169"/>
      <c r="AJ130" s="169"/>
      <c r="AK130" s="169"/>
      <c r="AL130" s="169"/>
      <c r="AM130" s="169"/>
      <c r="AN130" s="169"/>
      <c r="AO130" s="170"/>
      <c r="AP130" s="169"/>
      <c r="AQ130" s="169"/>
      <c r="AR130" s="169"/>
      <c r="AS130" s="169"/>
      <c r="AT130" s="169"/>
      <c r="AU130" s="169"/>
      <c r="AV130" s="169"/>
      <c r="AW130" s="169"/>
      <c r="AX130" s="176"/>
      <c r="AY130" s="169"/>
      <c r="AZ130" s="169"/>
      <c r="BA130" s="169"/>
      <c r="BB130" s="169"/>
      <c r="BC130" s="169"/>
    </row>
    <row r="131" spans="1:55" ht="15" customHeight="1" x14ac:dyDescent="0.25">
      <c r="A131" s="144"/>
      <c r="B131" s="169"/>
      <c r="C131" s="169"/>
      <c r="D131" s="169"/>
      <c r="E131" s="169"/>
      <c r="F131" s="170"/>
      <c r="G131" s="248" t="s">
        <v>198</v>
      </c>
      <c r="H131" s="219" t="s">
        <v>148</v>
      </c>
      <c r="I131" s="169"/>
      <c r="J131" s="170"/>
      <c r="K131" s="170"/>
      <c r="L131" s="170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70"/>
      <c r="AC131" s="170"/>
      <c r="AD131" s="170"/>
      <c r="AE131" s="169"/>
      <c r="AF131" s="170"/>
      <c r="AG131" s="170"/>
      <c r="AH131" s="169"/>
      <c r="AI131" s="169"/>
      <c r="AJ131" s="169"/>
      <c r="AK131" s="169"/>
      <c r="AL131" s="169"/>
      <c r="AM131" s="169"/>
      <c r="AN131" s="169"/>
      <c r="AO131" s="170"/>
      <c r="AP131" s="169"/>
      <c r="AQ131" s="169"/>
      <c r="AR131" s="169"/>
      <c r="AS131" s="169"/>
      <c r="AT131" s="169"/>
      <c r="AU131" s="169"/>
      <c r="AV131" s="169"/>
      <c r="AW131" s="169"/>
      <c r="AX131" s="176"/>
      <c r="AY131" s="169"/>
      <c r="AZ131" s="169"/>
      <c r="BA131" s="169"/>
      <c r="BB131" s="169"/>
      <c r="BC131" s="169"/>
    </row>
    <row r="132" spans="1:55" ht="15" customHeight="1" x14ac:dyDescent="0.25">
      <c r="A132" s="144"/>
      <c r="B132" s="169"/>
      <c r="C132" s="169"/>
      <c r="D132" s="169"/>
      <c r="E132" s="169"/>
      <c r="F132" s="170"/>
      <c r="G132" s="248" t="s">
        <v>370</v>
      </c>
      <c r="H132" s="219" t="s">
        <v>175</v>
      </c>
      <c r="I132" s="169"/>
      <c r="J132" s="170"/>
      <c r="K132" s="170"/>
      <c r="L132" s="170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70"/>
      <c r="AC132" s="170"/>
      <c r="AD132" s="170"/>
      <c r="AE132" s="169"/>
      <c r="AF132" s="170"/>
      <c r="AG132" s="170"/>
      <c r="AH132" s="169"/>
      <c r="AI132" s="169"/>
      <c r="AJ132" s="169"/>
      <c r="AK132" s="169"/>
      <c r="AL132" s="169"/>
      <c r="AM132" s="169"/>
      <c r="AN132" s="169"/>
      <c r="AO132" s="170"/>
      <c r="AP132" s="169"/>
      <c r="AQ132" s="169"/>
      <c r="AR132" s="169"/>
      <c r="AS132" s="169"/>
      <c r="AT132" s="169"/>
      <c r="AU132" s="169"/>
      <c r="AV132" s="169"/>
      <c r="AW132" s="169"/>
      <c r="AX132" s="176"/>
      <c r="AY132" s="169"/>
      <c r="AZ132" s="169"/>
      <c r="BA132" s="169"/>
      <c r="BB132" s="169"/>
      <c r="BC132" s="169"/>
    </row>
    <row r="133" spans="1:55" ht="15" customHeight="1" x14ac:dyDescent="0.25">
      <c r="A133" s="144"/>
      <c r="B133" s="169"/>
      <c r="C133" s="169"/>
      <c r="D133" s="169"/>
      <c r="E133" s="169"/>
      <c r="F133" s="170"/>
      <c r="G133" s="248" t="s">
        <v>148</v>
      </c>
      <c r="H133" s="219" t="s">
        <v>189</v>
      </c>
      <c r="I133" s="169"/>
      <c r="J133" s="170"/>
      <c r="K133" s="170"/>
      <c r="L133" s="170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70"/>
      <c r="AC133" s="170"/>
      <c r="AD133" s="170"/>
      <c r="AE133" s="169"/>
      <c r="AF133" s="170"/>
      <c r="AG133" s="170"/>
      <c r="AH133" s="169"/>
      <c r="AI133" s="169"/>
      <c r="AJ133" s="169"/>
      <c r="AK133" s="169"/>
      <c r="AL133" s="169"/>
      <c r="AM133" s="169"/>
      <c r="AN133" s="169"/>
      <c r="AO133" s="170"/>
      <c r="AP133" s="169"/>
      <c r="AQ133" s="169"/>
      <c r="AR133" s="169"/>
      <c r="AS133" s="169"/>
      <c r="AT133" s="169"/>
      <c r="AU133" s="169"/>
      <c r="AV133" s="169"/>
      <c r="AW133" s="169"/>
      <c r="AX133" s="176"/>
      <c r="AY133" s="169"/>
      <c r="AZ133" s="169"/>
      <c r="BA133" s="169"/>
      <c r="BB133" s="169"/>
      <c r="BC133" s="169"/>
    </row>
    <row r="134" spans="1:55" ht="15" customHeight="1" x14ac:dyDescent="0.25">
      <c r="A134" s="144"/>
      <c r="B134" s="169"/>
      <c r="C134" s="169"/>
      <c r="D134" s="169"/>
      <c r="E134" s="169"/>
      <c r="F134" s="170"/>
      <c r="G134" s="248" t="s">
        <v>432</v>
      </c>
      <c r="H134" s="219" t="s">
        <v>198</v>
      </c>
      <c r="I134" s="169"/>
      <c r="J134" s="170"/>
      <c r="K134" s="170"/>
      <c r="L134" s="170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70"/>
      <c r="AC134" s="170"/>
      <c r="AD134" s="170"/>
      <c r="AE134" s="169"/>
      <c r="AF134" s="170"/>
      <c r="AG134" s="170"/>
      <c r="AH134" s="169"/>
      <c r="AI134" s="169"/>
      <c r="AJ134" s="169"/>
      <c r="AK134" s="169"/>
      <c r="AL134" s="169"/>
      <c r="AM134" s="169"/>
      <c r="AN134" s="169"/>
      <c r="AO134" s="170"/>
      <c r="AP134" s="169"/>
      <c r="AQ134" s="169"/>
      <c r="AR134" s="169"/>
      <c r="AS134" s="169"/>
      <c r="AT134" s="169"/>
      <c r="AU134" s="169"/>
      <c r="AV134" s="169"/>
      <c r="AW134" s="169"/>
      <c r="AX134" s="176"/>
      <c r="AY134" s="169"/>
      <c r="AZ134" s="169"/>
      <c r="BA134" s="169"/>
      <c r="BB134" s="169"/>
      <c r="BC134" s="169"/>
    </row>
    <row r="135" spans="1:55" ht="15" customHeight="1" x14ac:dyDescent="0.25">
      <c r="A135" s="144"/>
      <c r="B135" s="169"/>
      <c r="C135" s="169"/>
      <c r="D135" s="169"/>
      <c r="E135" s="169"/>
      <c r="F135" s="170"/>
      <c r="G135" s="248" t="s">
        <v>375</v>
      </c>
      <c r="H135" s="219" t="s">
        <v>203</v>
      </c>
      <c r="I135" s="169"/>
      <c r="J135" s="170"/>
      <c r="K135" s="170"/>
      <c r="L135" s="170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70"/>
      <c r="AC135" s="170"/>
      <c r="AD135" s="170"/>
      <c r="AE135" s="169"/>
      <c r="AF135" s="170"/>
      <c r="AG135" s="170"/>
      <c r="AH135" s="169"/>
      <c r="AI135" s="169"/>
      <c r="AJ135" s="169"/>
      <c r="AK135" s="169"/>
      <c r="AL135" s="169"/>
      <c r="AM135" s="169"/>
      <c r="AN135" s="169"/>
      <c r="AO135" s="170"/>
      <c r="AP135" s="169"/>
      <c r="AQ135" s="169"/>
      <c r="AR135" s="169"/>
      <c r="AS135" s="169"/>
      <c r="AT135" s="169"/>
      <c r="AU135" s="169"/>
      <c r="AV135" s="169"/>
      <c r="AW135" s="169"/>
      <c r="AX135" s="176"/>
      <c r="AY135" s="169"/>
      <c r="AZ135" s="169"/>
      <c r="BA135" s="169"/>
      <c r="BB135" s="169"/>
      <c r="BC135" s="169"/>
    </row>
    <row r="136" spans="1:55" ht="15" customHeight="1" x14ac:dyDescent="0.25">
      <c r="A136" s="144"/>
      <c r="B136" s="169"/>
      <c r="C136" s="169"/>
      <c r="D136" s="169"/>
      <c r="E136" s="169"/>
      <c r="F136" s="170"/>
      <c r="G136" s="248" t="s">
        <v>209</v>
      </c>
      <c r="H136" s="219" t="s">
        <v>209</v>
      </c>
      <c r="I136" s="169"/>
      <c r="J136" s="170"/>
      <c r="K136" s="170"/>
      <c r="L136" s="170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70"/>
      <c r="AC136" s="170"/>
      <c r="AD136" s="170"/>
      <c r="AE136" s="169"/>
      <c r="AF136" s="170"/>
      <c r="AG136" s="170"/>
      <c r="AH136" s="169"/>
      <c r="AI136" s="169"/>
      <c r="AJ136" s="169"/>
      <c r="AK136" s="169"/>
      <c r="AL136" s="169"/>
      <c r="AM136" s="169"/>
      <c r="AN136" s="169"/>
      <c r="AO136" s="170"/>
      <c r="AP136" s="169"/>
      <c r="AQ136" s="169"/>
      <c r="AR136" s="169"/>
      <c r="AS136" s="169"/>
      <c r="AT136" s="169"/>
      <c r="AU136" s="169"/>
      <c r="AV136" s="169"/>
      <c r="AW136" s="169"/>
      <c r="AX136" s="176"/>
      <c r="AY136" s="169"/>
      <c r="AZ136" s="169"/>
      <c r="BA136" s="169"/>
      <c r="BB136" s="169"/>
      <c r="BC136" s="169"/>
    </row>
    <row r="137" spans="1:55" ht="15" customHeight="1" x14ac:dyDescent="0.25">
      <c r="A137" s="144"/>
      <c r="B137" s="169"/>
      <c r="C137" s="169"/>
      <c r="D137" s="169"/>
      <c r="E137" s="169"/>
      <c r="F137" s="170"/>
      <c r="G137" s="248" t="s">
        <v>316</v>
      </c>
      <c r="H137" s="219" t="s">
        <v>214</v>
      </c>
      <c r="I137" s="169"/>
      <c r="J137" s="170"/>
      <c r="K137" s="170"/>
      <c r="L137" s="170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70"/>
      <c r="AC137" s="170"/>
      <c r="AD137" s="170"/>
      <c r="AE137" s="169"/>
      <c r="AF137" s="170"/>
      <c r="AG137" s="170"/>
      <c r="AH137" s="169"/>
      <c r="AI137" s="169"/>
      <c r="AJ137" s="169"/>
      <c r="AK137" s="169"/>
      <c r="AL137" s="169"/>
      <c r="AM137" s="169"/>
      <c r="AN137" s="169"/>
      <c r="AO137" s="170"/>
      <c r="AP137" s="169"/>
      <c r="AQ137" s="169"/>
      <c r="AR137" s="169"/>
      <c r="AS137" s="169"/>
      <c r="AT137" s="169"/>
      <c r="AU137" s="169"/>
      <c r="AV137" s="169"/>
      <c r="AW137" s="169"/>
      <c r="AX137" s="176"/>
      <c r="AY137" s="169"/>
      <c r="AZ137" s="169"/>
      <c r="BA137" s="169"/>
      <c r="BB137" s="169"/>
      <c r="BC137" s="169"/>
    </row>
    <row r="138" spans="1:55" ht="15" customHeight="1" x14ac:dyDescent="0.25">
      <c r="A138" s="144"/>
      <c r="B138" s="169"/>
      <c r="C138" s="169"/>
      <c r="D138" s="169"/>
      <c r="E138" s="169"/>
      <c r="F138" s="170"/>
      <c r="G138" s="248" t="s">
        <v>332</v>
      </c>
      <c r="H138" s="219" t="s">
        <v>243</v>
      </c>
      <c r="I138" s="169"/>
      <c r="J138" s="170"/>
      <c r="K138" s="170"/>
      <c r="L138" s="170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70"/>
      <c r="AC138" s="170"/>
      <c r="AD138" s="170"/>
      <c r="AE138" s="169"/>
      <c r="AF138" s="170"/>
      <c r="AG138" s="170"/>
      <c r="AH138" s="169"/>
      <c r="AI138" s="169"/>
      <c r="AJ138" s="169"/>
      <c r="AK138" s="169"/>
      <c r="AL138" s="169"/>
      <c r="AM138" s="169"/>
      <c r="AN138" s="169"/>
      <c r="AO138" s="170"/>
      <c r="AP138" s="169"/>
      <c r="AQ138" s="169"/>
      <c r="AR138" s="169"/>
      <c r="AS138" s="169"/>
      <c r="AT138" s="169"/>
      <c r="AU138" s="169"/>
      <c r="AV138" s="169"/>
      <c r="AW138" s="169"/>
      <c r="AX138" s="176"/>
      <c r="AY138" s="169"/>
      <c r="AZ138" s="169"/>
      <c r="BA138" s="169"/>
      <c r="BB138" s="169"/>
      <c r="BC138" s="169"/>
    </row>
    <row r="139" spans="1:55" ht="15" customHeight="1" x14ac:dyDescent="0.25">
      <c r="A139" s="144"/>
      <c r="B139" s="169"/>
      <c r="C139" s="169"/>
      <c r="D139" s="169"/>
      <c r="E139" s="169"/>
      <c r="F139" s="170"/>
      <c r="G139" s="248" t="s">
        <v>1177</v>
      </c>
      <c r="H139" s="219" t="s">
        <v>248</v>
      </c>
      <c r="I139" s="169"/>
      <c r="J139" s="170"/>
      <c r="K139" s="170"/>
      <c r="L139" s="170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70"/>
      <c r="AC139" s="170"/>
      <c r="AD139" s="170"/>
      <c r="AE139" s="169"/>
      <c r="AF139" s="170"/>
      <c r="AG139" s="170"/>
      <c r="AH139" s="169"/>
      <c r="AI139" s="169"/>
      <c r="AJ139" s="169"/>
      <c r="AK139" s="169"/>
      <c r="AL139" s="169"/>
      <c r="AM139" s="169"/>
      <c r="AN139" s="169"/>
      <c r="AO139" s="170"/>
      <c r="AP139" s="169"/>
      <c r="AQ139" s="169"/>
      <c r="AR139" s="169"/>
      <c r="AS139" s="169"/>
      <c r="AT139" s="169"/>
      <c r="AU139" s="169"/>
      <c r="AV139" s="169"/>
      <c r="AW139" s="169"/>
      <c r="AX139" s="176"/>
      <c r="AY139" s="169"/>
      <c r="AZ139" s="169"/>
      <c r="BA139" s="169"/>
      <c r="BB139" s="169"/>
      <c r="BC139" s="169"/>
    </row>
    <row r="140" spans="1:55" ht="15" customHeight="1" x14ac:dyDescent="0.25">
      <c r="A140" s="144"/>
      <c r="B140" s="169"/>
      <c r="C140" s="169"/>
      <c r="D140" s="169"/>
      <c r="E140" s="169"/>
      <c r="F140" s="170"/>
      <c r="G140" s="248" t="s">
        <v>1182</v>
      </c>
      <c r="H140" s="219" t="s">
        <v>253</v>
      </c>
      <c r="I140" s="169"/>
      <c r="J140" s="170"/>
      <c r="K140" s="170"/>
      <c r="L140" s="170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70"/>
      <c r="AC140" s="170"/>
      <c r="AD140" s="170"/>
      <c r="AE140" s="169"/>
      <c r="AF140" s="170"/>
      <c r="AG140" s="170"/>
      <c r="AH140" s="169"/>
      <c r="AI140" s="169"/>
      <c r="AJ140" s="169"/>
      <c r="AK140" s="169"/>
      <c r="AL140" s="169"/>
      <c r="AM140" s="169"/>
      <c r="AN140" s="169"/>
      <c r="AO140" s="170"/>
      <c r="AP140" s="169"/>
      <c r="AQ140" s="169"/>
      <c r="AR140" s="169"/>
      <c r="AS140" s="169"/>
      <c r="AT140" s="169"/>
      <c r="AU140" s="169"/>
      <c r="AV140" s="169"/>
      <c r="AW140" s="169"/>
      <c r="AX140" s="176"/>
      <c r="AY140" s="169"/>
      <c r="AZ140" s="169"/>
      <c r="BA140" s="169"/>
      <c r="BB140" s="169"/>
      <c r="BC140" s="169"/>
    </row>
    <row r="141" spans="1:55" ht="15" customHeight="1" x14ac:dyDescent="0.25">
      <c r="A141" s="144"/>
      <c r="B141" s="169"/>
      <c r="C141" s="169"/>
      <c r="D141" s="169"/>
      <c r="E141" s="169"/>
      <c r="F141" s="170"/>
      <c r="G141" s="248" t="s">
        <v>253</v>
      </c>
      <c r="H141" s="219" t="s">
        <v>271</v>
      </c>
      <c r="I141" s="169"/>
      <c r="J141" s="170"/>
      <c r="K141" s="170"/>
      <c r="L141" s="170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70"/>
      <c r="AC141" s="170"/>
      <c r="AD141" s="170"/>
      <c r="AE141" s="169"/>
      <c r="AF141" s="170"/>
      <c r="AG141" s="170"/>
      <c r="AH141" s="169"/>
      <c r="AI141" s="169"/>
      <c r="AJ141" s="169"/>
      <c r="AK141" s="169"/>
      <c r="AL141" s="169"/>
      <c r="AM141" s="169"/>
      <c r="AN141" s="169"/>
      <c r="AO141" s="170"/>
      <c r="AP141" s="169"/>
      <c r="AQ141" s="169"/>
      <c r="AR141" s="169"/>
      <c r="AS141" s="169"/>
      <c r="AT141" s="169"/>
      <c r="AU141" s="169"/>
      <c r="AV141" s="169"/>
      <c r="AW141" s="169"/>
      <c r="AX141" s="176"/>
      <c r="AY141" s="169"/>
      <c r="AZ141" s="169"/>
      <c r="BA141" s="169"/>
      <c r="BB141" s="169"/>
      <c r="BC141" s="169"/>
    </row>
    <row r="142" spans="1:55" ht="15" customHeight="1" x14ac:dyDescent="0.25">
      <c r="A142" s="144"/>
      <c r="B142" s="169"/>
      <c r="C142" s="169"/>
      <c r="D142" s="169"/>
      <c r="E142" s="169"/>
      <c r="F142" s="170"/>
      <c r="G142" s="248" t="s">
        <v>455</v>
      </c>
      <c r="H142" s="219" t="s">
        <v>316</v>
      </c>
      <c r="I142" s="169"/>
      <c r="J142" s="170"/>
      <c r="K142" s="170"/>
      <c r="L142" s="170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70"/>
      <c r="AC142" s="170"/>
      <c r="AD142" s="170"/>
      <c r="AE142" s="169"/>
      <c r="AF142" s="170"/>
      <c r="AG142" s="170"/>
      <c r="AH142" s="169"/>
      <c r="AI142" s="169"/>
      <c r="AJ142" s="169"/>
      <c r="AK142" s="169"/>
      <c r="AL142" s="169"/>
      <c r="AM142" s="169"/>
      <c r="AN142" s="169"/>
      <c r="AO142" s="170"/>
      <c r="AP142" s="169"/>
      <c r="AQ142" s="169"/>
      <c r="AR142" s="169"/>
      <c r="AS142" s="169"/>
      <c r="AT142" s="169"/>
      <c r="AU142" s="169"/>
      <c r="AV142" s="169"/>
      <c r="AW142" s="169"/>
      <c r="AX142" s="176"/>
      <c r="AY142" s="169"/>
      <c r="AZ142" s="169"/>
      <c r="BA142" s="169"/>
      <c r="BB142" s="169"/>
      <c r="BC142" s="169"/>
    </row>
    <row r="143" spans="1:55" ht="15.75" x14ac:dyDescent="0.25">
      <c r="G143" s="248" t="s">
        <v>445</v>
      </c>
      <c r="H143" s="219" t="s">
        <v>324</v>
      </c>
    </row>
    <row r="144" spans="1:55" ht="15.75" x14ac:dyDescent="0.25">
      <c r="G144" s="248" t="s">
        <v>189</v>
      </c>
      <c r="H144" s="219" t="s">
        <v>332</v>
      </c>
    </row>
    <row r="145" spans="7:8" ht="15.75" x14ac:dyDescent="0.25">
      <c r="G145" s="248" t="s">
        <v>203</v>
      </c>
      <c r="H145" s="219" t="s">
        <v>350</v>
      </c>
    </row>
    <row r="146" spans="7:8" ht="15.75" x14ac:dyDescent="0.25">
      <c r="G146" s="248" t="s">
        <v>214</v>
      </c>
      <c r="H146" s="219" t="s">
        <v>370</v>
      </c>
    </row>
    <row r="147" spans="7:8" ht="15.75" x14ac:dyDescent="0.25">
      <c r="G147" s="248" t="s">
        <v>248</v>
      </c>
      <c r="H147" s="219" t="s">
        <v>375</v>
      </c>
    </row>
    <row r="148" spans="7:8" ht="15.75" x14ac:dyDescent="0.25">
      <c r="G148" s="248" t="s">
        <v>271</v>
      </c>
      <c r="H148" s="219" t="s">
        <v>399</v>
      </c>
    </row>
    <row r="149" spans="7:8" ht="15.75" x14ac:dyDescent="0.25">
      <c r="G149" s="248" t="s">
        <v>350</v>
      </c>
      <c r="H149" s="219" t="s">
        <v>422</v>
      </c>
    </row>
    <row r="150" spans="7:8" ht="15.75" x14ac:dyDescent="0.25">
      <c r="G150" s="248" t="s">
        <v>464</v>
      </c>
      <c r="H150" s="219" t="s">
        <v>432</v>
      </c>
    </row>
    <row r="151" spans="7:8" ht="15.75" x14ac:dyDescent="0.25">
      <c r="G151" s="248" t="s">
        <v>1220</v>
      </c>
      <c r="H151" s="219" t="s">
        <v>445</v>
      </c>
    </row>
    <row r="152" spans="7:8" ht="15.75" x14ac:dyDescent="0.25">
      <c r="G152" s="248" t="s">
        <v>1203</v>
      </c>
      <c r="H152" s="219" t="s">
        <v>455</v>
      </c>
    </row>
    <row r="153" spans="7:8" ht="15.75" x14ac:dyDescent="0.25">
      <c r="G153" s="248" t="s">
        <v>324</v>
      </c>
      <c r="H153" s="219" t="s">
        <v>464</v>
      </c>
    </row>
    <row r="154" spans="7:8" ht="15.75" x14ac:dyDescent="0.25">
      <c r="G154" s="248" t="s">
        <v>399</v>
      </c>
      <c r="H154" s="219" t="s">
        <v>514</v>
      </c>
    </row>
    <row r="155" spans="7:8" ht="15.75" x14ac:dyDescent="0.25">
      <c r="G155" s="248" t="s">
        <v>514</v>
      </c>
      <c r="H155" s="219" t="s">
        <v>519</v>
      </c>
    </row>
    <row r="156" spans="7:8" ht="15.75" x14ac:dyDescent="0.25">
      <c r="G156" s="248" t="s">
        <v>519</v>
      </c>
      <c r="H156" s="234" t="s">
        <v>957</v>
      </c>
    </row>
    <row r="157" spans="7:8" ht="15.75" x14ac:dyDescent="0.25">
      <c r="G157" s="248" t="s">
        <v>422</v>
      </c>
      <c r="H157" s="234" t="s">
        <v>969</v>
      </c>
    </row>
    <row r="158" spans="7:8" ht="15.75" x14ac:dyDescent="0.25">
      <c r="G158" s="248" t="s">
        <v>1187</v>
      </c>
      <c r="H158" s="234" t="s">
        <v>992</v>
      </c>
    </row>
    <row r="159" spans="7:8" ht="15.75" x14ac:dyDescent="0.25">
      <c r="G159" s="248" t="s">
        <v>107</v>
      </c>
      <c r="H159" s="234" t="s">
        <v>1091</v>
      </c>
    </row>
    <row r="160" spans="7:8" ht="15.75" x14ac:dyDescent="0.25">
      <c r="G160" s="248" t="s">
        <v>957</v>
      </c>
      <c r="H160" s="219" t="s">
        <v>1177</v>
      </c>
    </row>
    <row r="161" spans="7:8" ht="15.75" x14ac:dyDescent="0.25">
      <c r="G161" s="248" t="s">
        <v>992</v>
      </c>
      <c r="H161" s="219" t="s">
        <v>1182</v>
      </c>
    </row>
    <row r="162" spans="7:8" ht="15.75" x14ac:dyDescent="0.25">
      <c r="G162" s="248" t="s">
        <v>1091</v>
      </c>
      <c r="H162" s="219" t="s">
        <v>1187</v>
      </c>
    </row>
    <row r="163" spans="7:8" ht="15.75" x14ac:dyDescent="0.25">
      <c r="G163" s="248" t="s">
        <v>969</v>
      </c>
      <c r="H163" s="219" t="s">
        <v>1203</v>
      </c>
    </row>
    <row r="164" spans="7:8" ht="15.75" x14ac:dyDescent="0.25">
      <c r="H164" s="219" t="s">
        <v>1220</v>
      </c>
    </row>
  </sheetData>
  <mergeCells count="5">
    <mergeCell ref="AP10:AU10"/>
    <mergeCell ref="A12:O12"/>
    <mergeCell ref="P12:AA12"/>
    <mergeCell ref="AB12:BA12"/>
    <mergeCell ref="BB12:BC12"/>
  </mergeCells>
  <conditionalFormatting sqref="G127:H164">
    <cfRule type="duplicateValues" dxfId="1" priority="1"/>
  </conditionalFormatting>
  <conditionalFormatting sqref="H127:H164">
    <cfRule type="duplicateValues" dxfId="0" priority="2"/>
  </conditionalFormatting>
  <dataValidations count="1">
    <dataValidation allowBlank="1" showInputMessage="1" showErrorMessage="1" sqref="BB56 P66 AH64 AH78:AH79 Z89:Z96 AH90:AH96 Q59:Z59 Q67:R68 R66 AA78:AA79 AN81:AN82 AN78:AN79 U89 U92:U94 U96 R80:R82 R77:R78 R92:R94 R96 Q18:Z18 Q15:Z16 Q20:Z22 Q25:Z26 Q29:Z33 Q40:Z43 Q35:Z38 BB68 AK14:AK42 AI14:AI42 R73:R74 AN70:AN76 AH69:AH76 AA68:AA76 BB60 AM68:AN68 AO14:AX42 AA64:AA66 AN64:AN66 Q64 S64:Z64 R61:Z62 AH60 AN58:AN61 AH57:AH58 Q51:Z57 Q49:Z49 AS47:AX71 AR44:AX46 AN14:AN56 AA14:AA61 AM112 Q69:Q82 S86:T96 R69:R70 BC14:BD96 O14:O96 U86:U87 R86:R89 Q86:Q96 A14:E116 V86:Y96 Z86:Z87 AM69:AM96 AA81:AA96 AN85:AN96 AH81:AH88 S66:Z82 AO44:AQ96 AM14:AM42 AY14:AZ22 AL52:AL96 AR72:AZ96 AL14:AL18 AK112 AI44:AI96 AL41:AL42 AM44:AM67 AL20:AL39 AY65:AZ70 AY49:AZ63 AY44:AZ47 AY25:AZ42 AK44:AK96 AL44:AL50 AR47:AR70 AR112 AR116 H127:H155" xr:uid="{7D8F4699-017E-4450-9B0E-137D3A8AA62D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PRIORIDADES</vt:lpstr>
      <vt:lpstr>Quantitativo Fora da Demanda</vt:lpstr>
      <vt:lpstr>Listas (não utilizar)</vt:lpstr>
      <vt:lpstr>QUANT COND</vt:lpstr>
      <vt:lpstr>OFÍCIOS</vt:lpstr>
      <vt:lpstr>Planilha1</vt:lpstr>
      <vt:lpstr>Planilha2</vt:lpstr>
      <vt:lpstr>Planilha3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2026-09-11T14:27:19Z</dcterms:modified>
  <cp:category/>
  <cp:contentStatus/>
</cp:coreProperties>
</file>